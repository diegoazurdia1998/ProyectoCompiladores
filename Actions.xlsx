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1  Universidad\Compiladores\ProyectoCompiladores\"/>
    </mc:Choice>
  </mc:AlternateContent>
  <xr:revisionPtr revIDLastSave="0" documentId="13_ncr:1_{D8C0F819-363D-4F23-9141-391C0FB1509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No Terminales" sheetId="3" r:id="rId1"/>
    <sheet name="Action Table" sheetId="1" r:id="rId2"/>
    <sheet name="Accionnes No Termina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2" i="4"/>
  <c r="H3" i="4"/>
  <c r="H4" i="4"/>
  <c r="H5" i="4"/>
  <c r="H6" i="4"/>
  <c r="H7" i="4"/>
  <c r="H8" i="4"/>
  <c r="H9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1" i="4"/>
  <c r="H2" i="4"/>
  <c r="D5" i="4"/>
  <c r="D4" i="4"/>
  <c r="D3" i="4"/>
  <c r="D2" i="4"/>
  <c r="D7" i="4"/>
  <c r="D9" i="4"/>
  <c r="D10" i="4"/>
  <c r="D12" i="4"/>
  <c r="D18" i="4"/>
  <c r="D19" i="4"/>
  <c r="D17" i="4"/>
  <c r="D20" i="4"/>
  <c r="D22" i="4"/>
  <c r="D23" i="4"/>
  <c r="D24" i="4"/>
  <c r="D25" i="4"/>
  <c r="D26" i="4"/>
  <c r="D27" i="4"/>
  <c r="D28" i="4"/>
  <c r="D29" i="4"/>
  <c r="D31" i="4"/>
  <c r="D32" i="4"/>
  <c r="D33" i="4"/>
  <c r="D35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H30" i="4" s="1"/>
  <c r="F63" i="4"/>
  <c r="F64" i="4"/>
  <c r="H32" i="4" s="1"/>
  <c r="F65" i="4"/>
  <c r="F2" i="4"/>
  <c r="E49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H10" i="4" l="1"/>
  <c r="G2" i="4" a="1"/>
  <c r="G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<sst xmlns="http://schemas.openxmlformats.org/spreadsheetml/2006/main" count="1169" uniqueCount="424">
  <si>
    <t>Estado</t>
  </si>
  <si>
    <t>program</t>
  </si>
  <si>
    <t>PROGRAM</t>
  </si>
  <si>
    <t>$</t>
  </si>
  <si>
    <t>identifier</t>
  </si>
  <si>
    <t>;</t>
  </si>
  <si>
    <t>block</t>
  </si>
  <si>
    <t>declarations</t>
  </si>
  <si>
    <t>var_declaration</t>
  </si>
  <si>
    <t>procedure_declaration</t>
  </si>
  <si>
    <t>ε</t>
  </si>
  <si>
    <t>VAR</t>
  </si>
  <si>
    <t>PROCEDURE</t>
  </si>
  <si>
    <t>.</t>
  </si>
  <si>
    <t>compound_statement</t>
  </si>
  <si>
    <t>BEGIN</t>
  </si>
  <si>
    <t>statement_list</t>
  </si>
  <si>
    <t>statement</t>
  </si>
  <si>
    <t>assignment</t>
  </si>
  <si>
    <t>if_statement</t>
  </si>
  <si>
    <t>while_statement</t>
  </si>
  <si>
    <t>procedure_call</t>
  </si>
  <si>
    <t>io_statement</t>
  </si>
  <si>
    <t>IF</t>
  </si>
  <si>
    <t>WHILE</t>
  </si>
  <si>
    <t>PRINTLN</t>
  </si>
  <si>
    <t>READLN</t>
  </si>
  <si>
    <t>:</t>
  </si>
  <si>
    <t/>
  </si>
  <si>
    <t>END</t>
  </si>
  <si>
    <t>statement_list_ext</t>
  </si>
  <si>
    <t>:=</t>
  </si>
  <si>
    <t>expression</t>
  </si>
  <si>
    <t>simple_expression</t>
  </si>
  <si>
    <t>term</t>
  </si>
  <si>
    <t>factor</t>
  </si>
  <si>
    <t>number</t>
  </si>
  <si>
    <t>boolean_constant</t>
  </si>
  <si>
    <t>string_constant</t>
  </si>
  <si>
    <t>TRUE</t>
  </si>
  <si>
    <t>FALSE</t>
  </si>
  <si>
    <t>"</t>
  </si>
  <si>
    <t>type</t>
  </si>
  <si>
    <t>INTEGER</t>
  </si>
  <si>
    <t>REAL</t>
  </si>
  <si>
    <t>BOOLEAN</t>
  </si>
  <si>
    <t>STRING</t>
  </si>
  <si>
    <t>parameter_list</t>
  </si>
  <si>
    <t>argument_list</t>
  </si>
  <si>
    <t>THEN</t>
  </si>
  <si>
    <t>expression_ext</t>
  </si>
  <si>
    <t>relational_operator</t>
  </si>
  <si>
    <t>=</t>
  </si>
  <si>
    <t>additive_operator</t>
  </si>
  <si>
    <t>+</t>
  </si>
  <si>
    <t>-</t>
  </si>
  <si>
    <t>OR</t>
  </si>
  <si>
    <t>multiplicative_operator</t>
  </si>
  <si>
    <t>*</t>
  </si>
  <si>
    <t>/</t>
  </si>
  <si>
    <t>AND</t>
  </si>
  <si>
    <t>str</t>
  </si>
  <si>
    <t>DO</t>
  </si>
  <si>
    <t>)</t>
  </si>
  <si>
    <t>argument_list_ext</t>
  </si>
  <si>
    <t>,</t>
  </si>
  <si>
    <t>else_statement</t>
  </si>
  <si>
    <t>ELSE</t>
  </si>
  <si>
    <t>parameter_list_ext</t>
  </si>
  <si>
    <t>G1</t>
  </si>
  <si>
    <t>S2</t>
  </si>
  <si>
    <t>R-1</t>
  </si>
  <si>
    <t>S3</t>
  </si>
  <si>
    <t>S4</t>
  </si>
  <si>
    <t>G5</t>
  </si>
  <si>
    <t>G6</t>
  </si>
  <si>
    <t>G7</t>
  </si>
  <si>
    <t>G8</t>
  </si>
  <si>
    <t>S9</t>
  </si>
  <si>
    <t>S10</t>
  </si>
  <si>
    <t>S11</t>
  </si>
  <si>
    <t>S12</t>
  </si>
  <si>
    <t>G13</t>
  </si>
  <si>
    <t>S14</t>
  </si>
  <si>
    <t>G15</t>
  </si>
  <si>
    <t>G16</t>
  </si>
  <si>
    <t>S16</t>
  </si>
  <si>
    <t>G17</t>
  </si>
  <si>
    <t>S17</t>
  </si>
  <si>
    <t>R6</t>
  </si>
  <si>
    <t>S18</t>
  </si>
  <si>
    <t>OK</t>
  </si>
  <si>
    <t>R1</t>
  </si>
  <si>
    <t>S26</t>
  </si>
  <si>
    <t>G19</t>
  </si>
  <si>
    <t>G20</t>
  </si>
  <si>
    <t>G21</t>
  </si>
  <si>
    <t>G22</t>
  </si>
  <si>
    <t>G23</t>
  </si>
  <si>
    <t>G24</t>
  </si>
  <si>
    <t>G25</t>
  </si>
  <si>
    <t>S27</t>
  </si>
  <si>
    <t>S28</t>
  </si>
  <si>
    <t>S29</t>
  </si>
  <si>
    <t>S30</t>
  </si>
  <si>
    <t>R2</t>
  </si>
  <si>
    <t>R3</t>
  </si>
  <si>
    <t>S31</t>
  </si>
  <si>
    <t>S33</t>
  </si>
  <si>
    <t>S35</t>
  </si>
  <si>
    <t>S36</t>
  </si>
  <si>
    <t>R16</t>
  </si>
  <si>
    <t>G34</t>
  </si>
  <si>
    <t>R20</t>
  </si>
  <si>
    <t>R21</t>
  </si>
  <si>
    <t>R22</t>
  </si>
  <si>
    <t>R23</t>
  </si>
  <si>
    <t>R24</t>
  </si>
  <si>
    <t>S37</t>
  </si>
  <si>
    <t>S45</t>
  </si>
  <si>
    <t>S42</t>
  </si>
  <si>
    <t>G39</t>
  </si>
  <si>
    <t>G40</t>
  </si>
  <si>
    <t>G41</t>
  </si>
  <si>
    <t>G43</t>
  </si>
  <si>
    <t>S46</t>
  </si>
  <si>
    <t>G47</t>
  </si>
  <si>
    <t>G48</t>
  </si>
  <si>
    <t>S49</t>
  </si>
  <si>
    <t>S50</t>
  </si>
  <si>
    <t>S51</t>
  </si>
  <si>
    <t>S53</t>
  </si>
  <si>
    <t>G52</t>
  </si>
  <si>
    <t>G53</t>
  </si>
  <si>
    <t>G55</t>
  </si>
  <si>
    <t>S56</t>
  </si>
  <si>
    <t>S57</t>
  </si>
  <si>
    <t>S58</t>
  </si>
  <si>
    <t>S59</t>
  </si>
  <si>
    <t>S61</t>
  </si>
  <si>
    <t>S62</t>
  </si>
  <si>
    <t>G60</t>
  </si>
  <si>
    <t>R15</t>
  </si>
  <si>
    <t>R17</t>
  </si>
  <si>
    <t>S69</t>
  </si>
  <si>
    <t>G63</t>
  </si>
  <si>
    <t>G64</t>
  </si>
  <si>
    <t>G65</t>
  </si>
  <si>
    <t>G66</t>
  </si>
  <si>
    <t>G67</t>
  </si>
  <si>
    <t>G68</t>
  </si>
  <si>
    <t>S70</t>
  </si>
  <si>
    <t>S71</t>
  </si>
  <si>
    <t>S72</t>
  </si>
  <si>
    <t>S73</t>
  </si>
  <si>
    <t>R19</t>
  </si>
  <si>
    <t>S78</t>
  </si>
  <si>
    <t>S77</t>
  </si>
  <si>
    <t>G74</t>
  </si>
  <si>
    <t>G75</t>
  </si>
  <si>
    <t>G76</t>
  </si>
  <si>
    <t>G78</t>
  </si>
  <si>
    <t>S81</t>
  </si>
  <si>
    <t>S80</t>
  </si>
  <si>
    <t>G79</t>
  </si>
  <si>
    <t>G81</t>
  </si>
  <si>
    <t>S84</t>
  </si>
  <si>
    <t>S86</t>
  </si>
  <si>
    <t>G82</t>
  </si>
  <si>
    <t>G83</t>
  </si>
  <si>
    <t>S85</t>
  </si>
  <si>
    <t>G87</t>
  </si>
  <si>
    <t>S88</t>
  </si>
  <si>
    <t>S89</t>
  </si>
  <si>
    <t>S90</t>
  </si>
  <si>
    <t>R41</t>
  </si>
  <si>
    <t>R43</t>
  </si>
  <si>
    <t>G91</t>
  </si>
  <si>
    <t>S92</t>
  </si>
  <si>
    <t>S93</t>
  </si>
  <si>
    <t>S94</t>
  </si>
  <si>
    <t>S96</t>
  </si>
  <si>
    <t>G95</t>
  </si>
  <si>
    <t>G96</t>
  </si>
  <si>
    <t>R45</t>
  </si>
  <si>
    <t>R46</t>
  </si>
  <si>
    <t>R47</t>
  </si>
  <si>
    <t>R48</t>
  </si>
  <si>
    <t>R61</t>
  </si>
  <si>
    <t>R62</t>
  </si>
  <si>
    <t>S97</t>
  </si>
  <si>
    <t>S99</t>
  </si>
  <si>
    <t>G98</t>
  </si>
  <si>
    <t>G99</t>
  </si>
  <si>
    <t>S100</t>
  </si>
  <si>
    <t>R11</t>
  </si>
  <si>
    <t>R12</t>
  </si>
  <si>
    <t>R13</t>
  </si>
  <si>
    <t>R14</t>
  </si>
  <si>
    <t>S101</t>
  </si>
  <si>
    <t>S102</t>
  </si>
  <si>
    <t>R9</t>
  </si>
  <si>
    <t>S104</t>
  </si>
  <si>
    <t>G103</t>
  </si>
  <si>
    <t>S107</t>
  </si>
  <si>
    <t>G106</t>
  </si>
  <si>
    <t>G107</t>
  </si>
  <si>
    <t>S108</t>
  </si>
  <si>
    <t>G108</t>
  </si>
  <si>
    <t>R25</t>
  </si>
  <si>
    <t>S112</t>
  </si>
  <si>
    <t>S114</t>
  </si>
  <si>
    <t>G110</t>
  </si>
  <si>
    <t>G111</t>
  </si>
  <si>
    <t>S113</t>
  </si>
  <si>
    <t>G115</t>
  </si>
  <si>
    <t>S116</t>
  </si>
  <si>
    <t>S117</t>
  </si>
  <si>
    <t>S118</t>
  </si>
  <si>
    <t>S119</t>
  </si>
  <si>
    <t>S122</t>
  </si>
  <si>
    <t>G120</t>
  </si>
  <si>
    <t>S121</t>
  </si>
  <si>
    <t>S124</t>
  </si>
  <si>
    <t>G123</t>
  </si>
  <si>
    <t>G124</t>
  </si>
  <si>
    <t>R37</t>
  </si>
  <si>
    <t>S125</t>
  </si>
  <si>
    <t>G125</t>
  </si>
  <si>
    <t>R39</t>
  </si>
  <si>
    <t>R54</t>
  </si>
  <si>
    <t>R53</t>
  </si>
  <si>
    <t>S127</t>
  </si>
  <si>
    <t>S126</t>
  </si>
  <si>
    <t>G126</t>
  </si>
  <si>
    <t>G127</t>
  </si>
  <si>
    <t>R55</t>
  </si>
  <si>
    <t>R56</t>
  </si>
  <si>
    <t>R57</t>
  </si>
  <si>
    <t>S128</t>
  </si>
  <si>
    <t>G128</t>
  </si>
  <si>
    <t>R58</t>
  </si>
  <si>
    <t>R59</t>
  </si>
  <si>
    <t>R60</t>
  </si>
  <si>
    <t>S129</t>
  </si>
  <si>
    <t>S131</t>
  </si>
  <si>
    <t>G130</t>
  </si>
  <si>
    <t>G131</t>
  </si>
  <si>
    <t>S132</t>
  </si>
  <si>
    <t>G133</t>
  </si>
  <si>
    <t>S134</t>
  </si>
  <si>
    <t>S135</t>
  </si>
  <si>
    <t>G136</t>
  </si>
  <si>
    <t>S137</t>
  </si>
  <si>
    <t>R18</t>
  </si>
  <si>
    <t>S138</t>
  </si>
  <si>
    <t>G137</t>
  </si>
  <si>
    <t>G138</t>
  </si>
  <si>
    <t>S139</t>
  </si>
  <si>
    <t>G139</t>
  </si>
  <si>
    <t>S140</t>
  </si>
  <si>
    <t>S142</t>
  </si>
  <si>
    <t>G141</t>
  </si>
  <si>
    <t>G142</t>
  </si>
  <si>
    <t>S144</t>
  </si>
  <si>
    <t>G143</t>
  </si>
  <si>
    <t>G144</t>
  </si>
  <si>
    <t>S147</t>
  </si>
  <si>
    <t>S146</t>
  </si>
  <si>
    <t>G145</t>
  </si>
  <si>
    <t>G147</t>
  </si>
  <si>
    <t>R30</t>
  </si>
  <si>
    <t>R31</t>
  </si>
  <si>
    <t>S148</t>
  </si>
  <si>
    <t>G148</t>
  </si>
  <si>
    <t>R34</t>
  </si>
  <si>
    <t>S150</t>
  </si>
  <si>
    <t>S149</t>
  </si>
  <si>
    <t>R38</t>
  </si>
  <si>
    <t>R40</t>
  </si>
  <si>
    <t>R42</t>
  </si>
  <si>
    <t>R44</t>
  </si>
  <si>
    <t>R63</t>
  </si>
  <si>
    <t>R29</t>
  </si>
  <si>
    <t>R35</t>
  </si>
  <si>
    <t>R36</t>
  </si>
  <si>
    <t>R5</t>
  </si>
  <si>
    <t>G151</t>
  </si>
  <si>
    <t>G152</t>
  </si>
  <si>
    <t>S152</t>
  </si>
  <si>
    <t>S153</t>
  </si>
  <si>
    <t>S154</t>
  </si>
  <si>
    <t>S156</t>
  </si>
  <si>
    <t>G155</t>
  </si>
  <si>
    <t>G156</t>
  </si>
  <si>
    <t>S157</t>
  </si>
  <si>
    <t>G157</t>
  </si>
  <si>
    <t>S158</t>
  </si>
  <si>
    <t>G159</t>
  </si>
  <si>
    <t>S160</t>
  </si>
  <si>
    <t>S161</t>
  </si>
  <si>
    <t>G160</t>
  </si>
  <si>
    <t>R26</t>
  </si>
  <si>
    <t>S162</t>
  </si>
  <si>
    <t>G161</t>
  </si>
  <si>
    <t>G162</t>
  </si>
  <si>
    <t>R28</t>
  </si>
  <si>
    <t>R8</t>
  </si>
  <si>
    <t>S163</t>
  </si>
  <si>
    <t>S166</t>
  </si>
  <si>
    <t>G164</t>
  </si>
  <si>
    <t>S165</t>
  </si>
  <si>
    <t>S169</t>
  </si>
  <si>
    <t>G167</t>
  </si>
  <si>
    <t>S170</t>
  </si>
  <si>
    <t>G171</t>
  </si>
  <si>
    <t>G172</t>
  </si>
  <si>
    <t>S173</t>
  </si>
  <si>
    <t>S174</t>
  </si>
  <si>
    <t>S175</t>
  </si>
  <si>
    <t>R33</t>
  </si>
  <si>
    <t>R27</t>
  </si>
  <si>
    <t>R7</t>
  </si>
  <si>
    <t>S176</t>
  </si>
  <si>
    <t>S178</t>
  </si>
  <si>
    <t>G177</t>
  </si>
  <si>
    <t>G178</t>
  </si>
  <si>
    <t>S179</t>
  </si>
  <si>
    <t>G179</t>
  </si>
  <si>
    <t>G180</t>
  </si>
  <si>
    <t>S181</t>
  </si>
  <si>
    <t>S182</t>
  </si>
  <si>
    <t>S184</t>
  </si>
  <si>
    <t>G183</t>
  </si>
  <si>
    <t>R10</t>
  </si>
  <si>
    <t>"' str '"</t>
  </si>
  <si>
    <t>&gt;=</t>
  </si>
  <si>
    <t>&gt;</t>
  </si>
  <si>
    <t>&lt;=</t>
  </si>
  <si>
    <t>&lt;</t>
  </si>
  <si>
    <t>&lt;&gt;</t>
  </si>
  <si>
    <t>&lt;string_constant&gt;</t>
  </si>
  <si>
    <t>&lt;boolean_constant&gt;</t>
  </si>
  <si>
    <t>'(' &lt;expression&gt; ')'</t>
  </si>
  <si>
    <t>&lt;factor&gt; &lt;multiplicative_operator&gt; &lt;factor&gt;</t>
  </si>
  <si>
    <t>&lt;term&gt; &lt;additive_operator&gt; &lt;term&gt;</t>
  </si>
  <si>
    <t>&lt;relational_operator&gt; &lt;simple_expression&gt;</t>
  </si>
  <si>
    <t>&lt;simple_expression&gt; &lt;expression_ext&gt;</t>
  </si>
  <si>
    <t>'READLN' '(' identifier ')'</t>
  </si>
  <si>
    <t>'PRINTLN' '(' &lt;expression&gt; ')'</t>
  </si>
  <si>
    <t>',' &lt;expression&gt; &lt;argument_list_ext&gt;</t>
  </si>
  <si>
    <t>&lt;expression&gt; &lt;argument_list_ext&gt;</t>
  </si>
  <si>
    <t>identifier '(' &lt;argument_list&gt; ')'</t>
  </si>
  <si>
    <t>'WHILE' &lt;expression&gt; 'DO' &lt;statement&gt;</t>
  </si>
  <si>
    <t>'ELSE' &lt;statement&gt;</t>
  </si>
  <si>
    <t>'IF' &lt;expression&gt; 'THEN' &lt;statement&gt; &lt;else_statement&gt;</t>
  </si>
  <si>
    <t>identifier ':=' &lt;expression&gt;</t>
  </si>
  <si>
    <t>&lt;io_statement&gt;</t>
  </si>
  <si>
    <t>&lt;procedure_call&gt;</t>
  </si>
  <si>
    <t>&lt;while_statement&gt;</t>
  </si>
  <si>
    <t>&lt;if_statement&gt;</t>
  </si>
  <si>
    <t>&lt;assignment&gt;</t>
  </si>
  <si>
    <t>';' &lt;statement&gt; &lt;statement_list_ext&gt;</t>
  </si>
  <si>
    <t>&lt;statement&gt; &lt;statement_list_ext&gt;</t>
  </si>
  <si>
    <t>&lt;statement&gt;</t>
  </si>
  <si>
    <t>'BEGIN' &lt;statement_list&gt; 'END'</t>
  </si>
  <si>
    <t>',' identifier ':' &lt;type&gt; &lt;parameter_list_ext&gt;</t>
  </si>
  <si>
    <t>identifier ':' &lt;type&gt; &lt;parameter_list_ext&gt;</t>
  </si>
  <si>
    <t>'PROCEDURE' identifier '(' &lt;parameter_list&gt; ')' ';' &lt;block&gt; ';'</t>
  </si>
  <si>
    <t>'VAR' identifier ':' &lt;type&gt; ';' &lt;var_declaration&gt;</t>
  </si>
  <si>
    <t>&lt;procedure_declaration&gt; &lt;declarations&gt;</t>
  </si>
  <si>
    <t>&lt;var_declaration&gt; &lt;declarations&gt;</t>
  </si>
  <si>
    <t>&lt;declarations&gt; &lt;compound_statement&gt;</t>
  </si>
  <si>
    <t>'PROGRAM' identifier ';' &lt;block&gt; '.'</t>
  </si>
  <si>
    <t>Producción</t>
  </si>
  <si>
    <t>Identificador</t>
  </si>
  <si>
    <t>Índice</t>
  </si>
  <si>
    <t>save_type</t>
  </si>
  <si>
    <t>save_io_statement</t>
  </si>
  <si>
    <t>save_expression</t>
  </si>
  <si>
    <t>save_simple_expression</t>
  </si>
  <si>
    <t>save_term</t>
  </si>
  <si>
    <t>save_factor</t>
  </si>
  <si>
    <t>save_identifier</t>
  </si>
  <si>
    <t>save_number</t>
  </si>
  <si>
    <t>save_operator</t>
  </si>
  <si>
    <t>save_boolean</t>
  </si>
  <si>
    <t>save_string</t>
  </si>
  <si>
    <t>keep_value</t>
  </si>
  <si>
    <t>string</t>
  </si>
  <si>
    <t>( expression )</t>
  </si>
  <si>
    <t>0,1,2,3,4,5,6,8,9</t>
  </si>
  <si>
    <t>save_expression_extension</t>
  </si>
  <si>
    <t>simple_epresion expression_ext</t>
  </si>
  <si>
    <t>operator simple_expression</t>
  </si>
  <si>
    <t>term operator term</t>
  </si>
  <si>
    <t>factor operator factor</t>
  </si>
  <si>
    <t xml:space="preserve">READLN ( identifier ) </t>
  </si>
  <si>
    <t xml:space="preserve">PRINTLN ( identifier ) </t>
  </si>
  <si>
    <t>Sibolos</t>
  </si>
  <si>
    <t>, expresion argument_list_ext</t>
  </si>
  <si>
    <t>espresion argument_list_ext</t>
  </si>
  <si>
    <t>identifier ( agument_list )</t>
  </si>
  <si>
    <t>WHILE expression DO statement</t>
  </si>
  <si>
    <t>Accion sintactica</t>
  </si>
  <si>
    <t>'='</t>
  </si>
  <si>
    <t>'&lt;&gt;'</t>
  </si>
  <si>
    <t>'&lt;'</t>
  </si>
  <si>
    <t>'&lt;='</t>
  </si>
  <si>
    <t>'&gt;'</t>
  </si>
  <si>
    <t>'&gt;='</t>
  </si>
  <si>
    <t>'+'</t>
  </si>
  <si>
    <t>'-'</t>
  </si>
  <si>
    <t>'OR'</t>
  </si>
  <si>
    <t>'*'</t>
  </si>
  <si>
    <t>'/'</t>
  </si>
  <si>
    <t>'AND'</t>
  </si>
  <si>
    <t>'TRUE'</t>
  </si>
  <si>
    <t>'FALSE'</t>
  </si>
  <si>
    <t>'"' str '"'</t>
  </si>
  <si>
    <t>'INTEGER'</t>
  </si>
  <si>
    <t>'REAL'</t>
  </si>
  <si>
    <t>BOOLEAN'</t>
  </si>
  <si>
    <t>'STRING'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</si>
</sst>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1"/>
    <xf numFmtId="0" fontId="1" fillId="2" borderId="0" xfId="1" applyFill="1"/>
    <xf numFmtId="0" fontId="1" fillId="0" borderId="0" xfId="1" applyAlignment="1">
      <alignment horizontal="center"/>
    </xf>
    <xf numFmtId="0" fontId="1" fillId="2" borderId="0" xfId="1" quotePrefix="1" applyFill="1"/>
  </cellXfs>
  <cellStyles count="2">
    <cellStyle name="Normal" xfId="0" builtinId="0"/>
    <cellStyle name="Normal 2" xfId="1" xr:uid="{EEE5234E-40ED-4482-A97E-58B5B3AEFF1E}"/>
  </cellStyles>
  <dxfs count="20">
    <dxf>
      <fill>
        <patternFill>
          <bgColor theme="5" tint="0.79998168889431442"/>
        </patternFill>
      </fill>
    </dxf>
    <dxf>
      <fill>
        <patternFill>
          <bgColor rgb="FFFFFFB9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BCDCD"/>
        </patternFill>
      </fill>
    </dxf>
    <dxf>
      <fill>
        <patternFill>
          <bgColor rgb="FF5DD5FF"/>
        </patternFill>
      </fill>
    </dxf>
    <dxf>
      <fill>
        <patternFill>
          <bgColor rgb="FFCBA9E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B9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BCDCD"/>
        </patternFill>
      </fill>
    </dxf>
    <dxf>
      <fill>
        <patternFill>
          <bgColor rgb="FF5DD5FF"/>
        </patternFill>
      </fill>
    </dxf>
    <dxf>
      <fill>
        <patternFill>
          <bgColor rgb="FFCBA9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  <color rgb="FFFFFF00"/>
      </font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CBA9E5"/>
      <color rgb="FF5DD5FF"/>
      <color rgb="FFFBCDCD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507D-77E8-45CC-B5A1-183AFBB9CC4A}">
  <dimension ref="A1:C65"/>
  <sheetViews>
    <sheetView workbookViewId="0">
      <selection activeCell="A12" sqref="A12:C12"/>
    </sheetView>
  </sheetViews>
  <sheetFormatPr baseColWidth="10" defaultColWidth="9.140625" defaultRowHeight="15" x14ac:dyDescent="0.25"/>
  <cols>
    <col min="1" max="1" width="9.140625" style="2" customWidth="1"/>
    <col min="2" max="2" width="21.42578125" style="2" customWidth="1"/>
    <col min="3" max="3" width="52.140625" style="2" customWidth="1"/>
    <col min="4" max="16384" width="9.140625" style="2"/>
  </cols>
  <sheetData>
    <row r="1" spans="1:3" x14ac:dyDescent="0.25">
      <c r="A1" s="2" t="s">
        <v>376</v>
      </c>
      <c r="B1" s="2" t="s">
        <v>375</v>
      </c>
      <c r="C1" s="2" t="s">
        <v>374</v>
      </c>
    </row>
    <row r="2" spans="1:3" x14ac:dyDescent="0.25">
      <c r="A2" s="2">
        <v>1</v>
      </c>
      <c r="B2" s="2" t="s">
        <v>1</v>
      </c>
      <c r="C2" s="2" t="s">
        <v>373</v>
      </c>
    </row>
    <row r="3" spans="1:3" x14ac:dyDescent="0.25">
      <c r="A3" s="2">
        <v>2</v>
      </c>
      <c r="B3" s="2" t="s">
        <v>6</v>
      </c>
      <c r="C3" s="2" t="s">
        <v>372</v>
      </c>
    </row>
    <row r="4" spans="1:3" x14ac:dyDescent="0.25">
      <c r="A4" s="2">
        <v>3</v>
      </c>
      <c r="B4" s="2" t="s">
        <v>7</v>
      </c>
      <c r="C4" s="2" t="s">
        <v>371</v>
      </c>
    </row>
    <row r="5" spans="1:3" x14ac:dyDescent="0.25">
      <c r="A5" s="2">
        <v>4</v>
      </c>
      <c r="B5" s="2" t="s">
        <v>7</v>
      </c>
      <c r="C5" s="2" t="s">
        <v>370</v>
      </c>
    </row>
    <row r="6" spans="1:3" x14ac:dyDescent="0.25">
      <c r="A6" s="2">
        <v>5</v>
      </c>
      <c r="B6" s="2" t="s">
        <v>7</v>
      </c>
      <c r="C6" s="2" t="s">
        <v>10</v>
      </c>
    </row>
    <row r="7" spans="1:3" x14ac:dyDescent="0.25">
      <c r="A7" s="2">
        <v>6</v>
      </c>
      <c r="B7" s="2" t="s">
        <v>8</v>
      </c>
      <c r="C7" s="2" t="s">
        <v>369</v>
      </c>
    </row>
    <row r="8" spans="1:3" x14ac:dyDescent="0.25">
      <c r="A8" s="2">
        <v>7</v>
      </c>
      <c r="B8" s="2" t="s">
        <v>8</v>
      </c>
      <c r="C8" s="2" t="s">
        <v>10</v>
      </c>
    </row>
    <row r="9" spans="1:3" x14ac:dyDescent="0.25">
      <c r="A9" s="2">
        <v>8</v>
      </c>
      <c r="B9" s="2" t="s">
        <v>9</v>
      </c>
      <c r="C9" s="2" t="s">
        <v>368</v>
      </c>
    </row>
    <row r="10" spans="1:3" x14ac:dyDescent="0.25">
      <c r="A10" s="2">
        <v>9</v>
      </c>
      <c r="B10" s="2" t="s">
        <v>47</v>
      </c>
      <c r="C10" s="2" t="s">
        <v>367</v>
      </c>
    </row>
    <row r="11" spans="1:3" x14ac:dyDescent="0.25">
      <c r="A11" s="2">
        <v>10</v>
      </c>
      <c r="B11" s="2" t="s">
        <v>47</v>
      </c>
      <c r="C11" s="2" t="s">
        <v>10</v>
      </c>
    </row>
    <row r="12" spans="1:3" x14ac:dyDescent="0.25">
      <c r="A12" s="2">
        <v>11</v>
      </c>
      <c r="B12" s="2" t="s">
        <v>68</v>
      </c>
      <c r="C12" s="2" t="s">
        <v>366</v>
      </c>
    </row>
    <row r="13" spans="1:3" x14ac:dyDescent="0.25">
      <c r="A13" s="2">
        <v>12</v>
      </c>
      <c r="B13" s="2" t="s">
        <v>42</v>
      </c>
      <c r="C13" s="2" t="s">
        <v>43</v>
      </c>
    </row>
    <row r="14" spans="1:3" x14ac:dyDescent="0.25">
      <c r="A14" s="2">
        <v>13</v>
      </c>
      <c r="B14" s="2" t="s">
        <v>42</v>
      </c>
      <c r="C14" s="2" t="s">
        <v>44</v>
      </c>
    </row>
    <row r="15" spans="1:3" x14ac:dyDescent="0.25">
      <c r="A15" s="2">
        <v>14</v>
      </c>
      <c r="B15" s="2" t="s">
        <v>42</v>
      </c>
      <c r="C15" s="2" t="s">
        <v>45</v>
      </c>
    </row>
    <row r="16" spans="1:3" x14ac:dyDescent="0.25">
      <c r="A16" s="2">
        <v>15</v>
      </c>
      <c r="B16" s="2" t="s">
        <v>42</v>
      </c>
      <c r="C16" s="2" t="s">
        <v>46</v>
      </c>
    </row>
    <row r="17" spans="1:3" x14ac:dyDescent="0.25">
      <c r="A17" s="2">
        <v>16</v>
      </c>
      <c r="B17" s="2" t="s">
        <v>14</v>
      </c>
      <c r="C17" s="2" t="s">
        <v>365</v>
      </c>
    </row>
    <row r="18" spans="1:3" x14ac:dyDescent="0.25">
      <c r="A18" s="2">
        <v>17</v>
      </c>
      <c r="B18" s="2" t="s">
        <v>16</v>
      </c>
      <c r="C18" s="2" t="s">
        <v>364</v>
      </c>
    </row>
    <row r="19" spans="1:3" x14ac:dyDescent="0.25">
      <c r="A19" s="2">
        <v>18</v>
      </c>
      <c r="B19" s="2" t="s">
        <v>16</v>
      </c>
      <c r="C19" s="2" t="s">
        <v>363</v>
      </c>
    </row>
    <row r="20" spans="1:3" x14ac:dyDescent="0.25">
      <c r="A20" s="2">
        <v>19</v>
      </c>
      <c r="B20" s="2" t="s">
        <v>30</v>
      </c>
      <c r="C20" s="2" t="s">
        <v>362</v>
      </c>
    </row>
    <row r="21" spans="1:3" x14ac:dyDescent="0.25">
      <c r="A21" s="2">
        <v>20</v>
      </c>
      <c r="B21" s="2" t="s">
        <v>30</v>
      </c>
      <c r="C21" s="2" t="s">
        <v>10</v>
      </c>
    </row>
    <row r="22" spans="1:3" x14ac:dyDescent="0.25">
      <c r="A22" s="2">
        <v>21</v>
      </c>
      <c r="B22" s="2" t="s">
        <v>17</v>
      </c>
      <c r="C22" s="2" t="s">
        <v>361</v>
      </c>
    </row>
    <row r="23" spans="1:3" x14ac:dyDescent="0.25">
      <c r="A23" s="2">
        <v>22</v>
      </c>
      <c r="B23" s="2" t="s">
        <v>17</v>
      </c>
      <c r="C23" s="2" t="s">
        <v>360</v>
      </c>
    </row>
    <row r="24" spans="1:3" x14ac:dyDescent="0.25">
      <c r="A24" s="2">
        <v>23</v>
      </c>
      <c r="B24" s="2" t="s">
        <v>17</v>
      </c>
      <c r="C24" s="2" t="s">
        <v>359</v>
      </c>
    </row>
    <row r="25" spans="1:3" x14ac:dyDescent="0.25">
      <c r="A25" s="2">
        <v>24</v>
      </c>
      <c r="B25" s="2" t="s">
        <v>17</v>
      </c>
      <c r="C25" s="2" t="s">
        <v>358</v>
      </c>
    </row>
    <row r="26" spans="1:3" x14ac:dyDescent="0.25">
      <c r="A26" s="2">
        <v>25</v>
      </c>
      <c r="B26" s="2" t="s">
        <v>17</v>
      </c>
      <c r="C26" s="2" t="s">
        <v>357</v>
      </c>
    </row>
    <row r="27" spans="1:3" x14ac:dyDescent="0.25">
      <c r="A27" s="2">
        <v>26</v>
      </c>
      <c r="B27" s="2" t="s">
        <v>18</v>
      </c>
      <c r="C27" s="2" t="s">
        <v>356</v>
      </c>
    </row>
    <row r="28" spans="1:3" x14ac:dyDescent="0.25">
      <c r="A28" s="2">
        <v>27</v>
      </c>
      <c r="B28" s="2" t="s">
        <v>19</v>
      </c>
      <c r="C28" s="2" t="s">
        <v>355</v>
      </c>
    </row>
    <row r="29" spans="1:3" x14ac:dyDescent="0.25">
      <c r="A29" s="2">
        <v>28</v>
      </c>
      <c r="B29" s="2" t="s">
        <v>66</v>
      </c>
      <c r="C29" s="2" t="s">
        <v>354</v>
      </c>
    </row>
    <row r="30" spans="1:3" x14ac:dyDescent="0.25">
      <c r="A30" s="2">
        <v>29</v>
      </c>
      <c r="B30" s="2" t="s">
        <v>66</v>
      </c>
      <c r="C30" s="2" t="s">
        <v>10</v>
      </c>
    </row>
    <row r="31" spans="1:3" x14ac:dyDescent="0.25">
      <c r="A31" s="2">
        <v>30</v>
      </c>
      <c r="B31" s="2" t="s">
        <v>20</v>
      </c>
      <c r="C31" s="2" t="s">
        <v>353</v>
      </c>
    </row>
    <row r="32" spans="1:3" x14ac:dyDescent="0.25">
      <c r="A32" s="2">
        <v>31</v>
      </c>
      <c r="B32" s="2" t="s">
        <v>21</v>
      </c>
      <c r="C32" s="2" t="s">
        <v>352</v>
      </c>
    </row>
    <row r="33" spans="1:3" x14ac:dyDescent="0.25">
      <c r="A33" s="2">
        <v>32</v>
      </c>
      <c r="B33" s="2" t="s">
        <v>48</v>
      </c>
      <c r="C33" s="2" t="s">
        <v>351</v>
      </c>
    </row>
    <row r="34" spans="1:3" x14ac:dyDescent="0.25">
      <c r="A34" s="2">
        <v>33</v>
      </c>
      <c r="B34" s="2" t="s">
        <v>48</v>
      </c>
      <c r="C34" s="2" t="s">
        <v>10</v>
      </c>
    </row>
    <row r="35" spans="1:3" x14ac:dyDescent="0.25">
      <c r="A35" s="2">
        <v>34</v>
      </c>
      <c r="B35" s="2" t="s">
        <v>64</v>
      </c>
      <c r="C35" s="2" t="s">
        <v>350</v>
      </c>
    </row>
    <row r="36" spans="1:3" x14ac:dyDescent="0.25">
      <c r="A36" s="2">
        <v>35</v>
      </c>
      <c r="B36" s="2" t="s">
        <v>64</v>
      </c>
      <c r="C36" s="2" t="s">
        <v>10</v>
      </c>
    </row>
    <row r="37" spans="1:3" x14ac:dyDescent="0.25">
      <c r="A37" s="2">
        <v>36</v>
      </c>
      <c r="B37" s="2" t="s">
        <v>22</v>
      </c>
      <c r="C37" s="2" t="s">
        <v>349</v>
      </c>
    </row>
    <row r="38" spans="1:3" x14ac:dyDescent="0.25">
      <c r="A38" s="2">
        <v>37</v>
      </c>
      <c r="B38" s="2" t="s">
        <v>22</v>
      </c>
      <c r="C38" s="2" t="s">
        <v>348</v>
      </c>
    </row>
    <row r="39" spans="1:3" x14ac:dyDescent="0.25">
      <c r="A39" s="2">
        <v>38</v>
      </c>
      <c r="B39" s="2" t="s">
        <v>32</v>
      </c>
      <c r="C39" s="2" t="s">
        <v>347</v>
      </c>
    </row>
    <row r="40" spans="1:3" x14ac:dyDescent="0.25">
      <c r="A40" s="2">
        <v>39</v>
      </c>
      <c r="B40" s="2" t="s">
        <v>50</v>
      </c>
      <c r="C40" s="2" t="s">
        <v>346</v>
      </c>
    </row>
    <row r="41" spans="1:3" x14ac:dyDescent="0.25">
      <c r="A41" s="2">
        <v>40</v>
      </c>
      <c r="B41" s="2" t="s">
        <v>50</v>
      </c>
      <c r="C41" s="2" t="s">
        <v>10</v>
      </c>
    </row>
    <row r="42" spans="1:3" x14ac:dyDescent="0.25">
      <c r="A42" s="2">
        <v>41</v>
      </c>
      <c r="B42" s="2" t="s">
        <v>33</v>
      </c>
      <c r="C42" s="2" t="s">
        <v>345</v>
      </c>
    </row>
    <row r="43" spans="1:3" x14ac:dyDescent="0.25">
      <c r="A43" s="2">
        <v>42</v>
      </c>
      <c r="B43" s="2" t="s">
        <v>33</v>
      </c>
      <c r="C43" s="2" t="s">
        <v>10</v>
      </c>
    </row>
    <row r="44" spans="1:3" x14ac:dyDescent="0.25">
      <c r="A44" s="2">
        <v>43</v>
      </c>
      <c r="B44" s="2" t="s">
        <v>34</v>
      </c>
      <c r="C44" s="2" t="s">
        <v>344</v>
      </c>
    </row>
    <row r="45" spans="1:3" x14ac:dyDescent="0.25">
      <c r="A45" s="2">
        <v>44</v>
      </c>
      <c r="B45" s="2" t="s">
        <v>34</v>
      </c>
      <c r="C45" s="2" t="s">
        <v>10</v>
      </c>
    </row>
    <row r="46" spans="1:3" x14ac:dyDescent="0.25">
      <c r="A46" s="2">
        <v>45</v>
      </c>
      <c r="B46" s="2" t="s">
        <v>35</v>
      </c>
      <c r="C46" s="2" t="s">
        <v>343</v>
      </c>
    </row>
    <row r="47" spans="1:3" x14ac:dyDescent="0.25">
      <c r="A47" s="2">
        <v>46</v>
      </c>
      <c r="B47" s="2" t="s">
        <v>35</v>
      </c>
      <c r="C47" s="2" t="s">
        <v>4</v>
      </c>
    </row>
    <row r="48" spans="1:3" x14ac:dyDescent="0.25">
      <c r="A48" s="2">
        <v>47</v>
      </c>
      <c r="B48" s="2" t="s">
        <v>35</v>
      </c>
      <c r="C48" s="2" t="s">
        <v>36</v>
      </c>
    </row>
    <row r="49" spans="1:3" x14ac:dyDescent="0.25">
      <c r="A49" s="2">
        <v>48</v>
      </c>
      <c r="B49" s="2" t="s">
        <v>35</v>
      </c>
      <c r="C49" s="2" t="s">
        <v>342</v>
      </c>
    </row>
    <row r="50" spans="1:3" x14ac:dyDescent="0.25">
      <c r="A50" s="2">
        <v>49</v>
      </c>
      <c r="B50" s="2" t="s">
        <v>35</v>
      </c>
      <c r="C50" s="2" t="s">
        <v>341</v>
      </c>
    </row>
    <row r="51" spans="1:3" x14ac:dyDescent="0.25">
      <c r="A51" s="2">
        <v>50</v>
      </c>
      <c r="B51" s="2" t="s">
        <v>51</v>
      </c>
      <c r="C51" s="2" t="s">
        <v>52</v>
      </c>
    </row>
    <row r="52" spans="1:3" x14ac:dyDescent="0.25">
      <c r="A52" s="2">
        <v>51</v>
      </c>
      <c r="B52" s="2" t="s">
        <v>51</v>
      </c>
      <c r="C52" s="2" t="s">
        <v>340</v>
      </c>
    </row>
    <row r="53" spans="1:3" x14ac:dyDescent="0.25">
      <c r="A53" s="2">
        <v>52</v>
      </c>
      <c r="B53" s="2" t="s">
        <v>51</v>
      </c>
      <c r="C53" s="2" t="s">
        <v>339</v>
      </c>
    </row>
    <row r="54" spans="1:3" x14ac:dyDescent="0.25">
      <c r="A54" s="2">
        <v>53</v>
      </c>
      <c r="B54" s="2" t="s">
        <v>51</v>
      </c>
      <c r="C54" s="2" t="s">
        <v>338</v>
      </c>
    </row>
    <row r="55" spans="1:3" x14ac:dyDescent="0.25">
      <c r="A55" s="2">
        <v>54</v>
      </c>
      <c r="B55" s="2" t="s">
        <v>51</v>
      </c>
      <c r="C55" s="2" t="s">
        <v>337</v>
      </c>
    </row>
    <row r="56" spans="1:3" x14ac:dyDescent="0.25">
      <c r="A56" s="2">
        <v>55</v>
      </c>
      <c r="B56" s="2" t="s">
        <v>51</v>
      </c>
      <c r="C56" s="2" t="s">
        <v>336</v>
      </c>
    </row>
    <row r="57" spans="1:3" x14ac:dyDescent="0.25">
      <c r="A57" s="2">
        <v>56</v>
      </c>
      <c r="B57" s="2" t="s">
        <v>53</v>
      </c>
      <c r="C57" s="2" t="s">
        <v>54</v>
      </c>
    </row>
    <row r="58" spans="1:3" x14ac:dyDescent="0.25">
      <c r="A58" s="2">
        <v>57</v>
      </c>
      <c r="B58" s="2" t="s">
        <v>53</v>
      </c>
      <c r="C58" s="2" t="s">
        <v>55</v>
      </c>
    </row>
    <row r="59" spans="1:3" x14ac:dyDescent="0.25">
      <c r="A59" s="2">
        <v>58</v>
      </c>
      <c r="B59" s="2" t="s">
        <v>53</v>
      </c>
      <c r="C59" s="2" t="s">
        <v>56</v>
      </c>
    </row>
    <row r="60" spans="1:3" x14ac:dyDescent="0.25">
      <c r="A60" s="2">
        <v>59</v>
      </c>
      <c r="B60" s="2" t="s">
        <v>57</v>
      </c>
      <c r="C60" s="2" t="s">
        <v>58</v>
      </c>
    </row>
    <row r="61" spans="1:3" x14ac:dyDescent="0.25">
      <c r="A61" s="2">
        <v>60</v>
      </c>
      <c r="B61" s="2" t="s">
        <v>57</v>
      </c>
      <c r="C61" s="2" t="s">
        <v>59</v>
      </c>
    </row>
    <row r="62" spans="1:3" x14ac:dyDescent="0.25">
      <c r="A62" s="2">
        <v>61</v>
      </c>
      <c r="B62" s="2" t="s">
        <v>57</v>
      </c>
      <c r="C62" s="2" t="s">
        <v>60</v>
      </c>
    </row>
    <row r="63" spans="1:3" x14ac:dyDescent="0.25">
      <c r="A63" s="2">
        <v>62</v>
      </c>
      <c r="B63" s="2" t="s">
        <v>37</v>
      </c>
      <c r="C63" s="2" t="s">
        <v>39</v>
      </c>
    </row>
    <row r="64" spans="1:3" x14ac:dyDescent="0.25">
      <c r="A64" s="2">
        <v>63</v>
      </c>
      <c r="B64" s="2" t="s">
        <v>37</v>
      </c>
      <c r="C64" s="2" t="s">
        <v>40</v>
      </c>
    </row>
    <row r="65" spans="1:3" x14ac:dyDescent="0.25">
      <c r="A65" s="2">
        <v>64</v>
      </c>
      <c r="B65" s="2" t="s">
        <v>38</v>
      </c>
      <c r="C65" s="2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5"/>
  <sheetViews>
    <sheetView topLeftCell="A37" zoomScaleNormal="100" workbookViewId="0">
      <selection activeCell="F1" sqref="F1:F1048576"/>
    </sheetView>
  </sheetViews>
  <sheetFormatPr baseColWidth="10" defaultColWidth="9.140625" defaultRowHeight="15" x14ac:dyDescent="0.25"/>
  <cols>
    <col min="1" max="1" width="6.85546875" bestFit="1" customWidth="1"/>
    <col min="2" max="2" width="8.42578125" bestFit="1" customWidth="1"/>
    <col min="3" max="3" width="10.140625" bestFit="1" customWidth="1"/>
    <col min="4" max="4" width="3.85546875" bestFit="1" customWidth="1"/>
    <col min="5" max="5" width="9.42578125" bestFit="1" customWidth="1"/>
    <col min="6" max="6" width="5" bestFit="1" customWidth="1"/>
    <col min="7" max="7" width="5.7109375" bestFit="1" customWidth="1"/>
    <col min="8" max="8" width="11.85546875" bestFit="1" customWidth="1"/>
    <col min="9" max="9" width="14.7109375" bestFit="1" customWidth="1"/>
    <col min="10" max="10" width="21.42578125" bestFit="1" customWidth="1"/>
    <col min="11" max="12" width="5" bestFit="1" customWidth="1"/>
    <col min="13" max="13" width="11.5703125" customWidth="1"/>
    <col min="14" max="14" width="4.140625" bestFit="1" customWidth="1"/>
    <col min="15" max="15" width="20.7109375" bestFit="1" customWidth="1"/>
    <col min="16" max="16" width="6.42578125" bestFit="1" customWidth="1"/>
    <col min="17" max="17" width="13.85546875" bestFit="1" customWidth="1"/>
    <col min="18" max="18" width="10.140625" bestFit="1" customWidth="1"/>
    <col min="19" max="19" width="11.140625" bestFit="1" customWidth="1"/>
    <col min="20" max="20" width="12.42578125" bestFit="1" customWidth="1"/>
    <col min="21" max="21" width="16.28515625" bestFit="1" customWidth="1"/>
    <col min="22" max="22" width="14.140625" bestFit="1" customWidth="1"/>
    <col min="23" max="23" width="12.85546875" bestFit="1" customWidth="1"/>
    <col min="24" max="24" width="5" bestFit="1" customWidth="1"/>
    <col min="25" max="25" width="6.5703125" bestFit="1" customWidth="1"/>
    <col min="26" max="26" width="8.5703125" bestFit="1" customWidth="1"/>
    <col min="27" max="27" width="8" bestFit="1" customWidth="1"/>
    <col min="28" max="29" width="5" bestFit="1" customWidth="1"/>
    <col min="30" max="30" width="4.7109375" bestFit="1" customWidth="1"/>
    <col min="31" max="31" width="17.85546875" bestFit="1" customWidth="1"/>
    <col min="32" max="32" width="5" bestFit="1" customWidth="1"/>
    <col min="33" max="33" width="10.7109375" bestFit="1" customWidth="1"/>
    <col min="34" max="34" width="17.85546875" bestFit="1" customWidth="1"/>
    <col min="35" max="35" width="5.28515625" bestFit="1" customWidth="1"/>
    <col min="36" max="36" width="6.140625" bestFit="1" customWidth="1"/>
    <col min="37" max="37" width="8" bestFit="1" customWidth="1"/>
    <col min="38" max="38" width="17" bestFit="1" customWidth="1"/>
    <col min="39" max="39" width="14.5703125" bestFit="1" customWidth="1"/>
    <col min="40" max="40" width="5.42578125" bestFit="1" customWidth="1"/>
    <col min="41" max="41" width="6.140625" bestFit="1" customWidth="1"/>
    <col min="42" max="42" width="5" bestFit="1" customWidth="1"/>
    <col min="43" max="43" width="5.28515625" bestFit="1" customWidth="1"/>
    <col min="44" max="44" width="8.42578125" bestFit="1" customWidth="1"/>
    <col min="45" max="45" width="5.28515625" bestFit="1" customWidth="1"/>
    <col min="46" max="46" width="9.5703125" bestFit="1" customWidth="1"/>
    <col min="47" max="47" width="7.42578125" bestFit="1" customWidth="1"/>
    <col min="48" max="48" width="14" bestFit="1" customWidth="1"/>
    <col min="49" max="49" width="13.28515625" bestFit="1" customWidth="1"/>
    <col min="50" max="50" width="5.7109375" bestFit="1" customWidth="1"/>
    <col min="51" max="51" width="14.5703125" bestFit="1" customWidth="1"/>
    <col min="52" max="52" width="18.42578125" bestFit="1" customWidth="1"/>
    <col min="53" max="53" width="5" bestFit="1" customWidth="1"/>
    <col min="54" max="54" width="17.140625" bestFit="1" customWidth="1"/>
    <col min="55" max="57" width="5" bestFit="1" customWidth="1"/>
    <col min="58" max="58" width="22.28515625" bestFit="1" customWidth="1"/>
    <col min="59" max="64" width="5" bestFit="1" customWidth="1"/>
    <col min="65" max="65" width="17.28515625" bestFit="1" customWidth="1"/>
    <col min="66" max="66" width="5" bestFit="1" customWidth="1"/>
    <col min="67" max="67" width="14.85546875" bestFit="1" customWidth="1"/>
    <col min="68" max="68" width="5" bestFit="1" customWidth="1"/>
    <col min="69" max="69" width="18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s="1">
        <v>0</v>
      </c>
      <c r="B2" s="1" t="s">
        <v>69</v>
      </c>
      <c r="C2" s="1" t="s">
        <v>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x14ac:dyDescent="0.25">
      <c r="A3" s="1">
        <v>1</v>
      </c>
      <c r="B3" s="1"/>
      <c r="C3" s="1"/>
      <c r="D3" s="1" t="s">
        <v>71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A4" s="1">
        <v>2</v>
      </c>
      <c r="B4" s="1"/>
      <c r="C4" s="1"/>
      <c r="D4" s="1"/>
      <c r="E4" s="1" t="s">
        <v>72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x14ac:dyDescent="0.25">
      <c r="A5" s="1">
        <v>3</v>
      </c>
      <c r="B5" s="1"/>
      <c r="C5" s="1"/>
      <c r="D5" s="1"/>
      <c r="E5" s="1"/>
      <c r="F5" s="1" t="s">
        <v>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x14ac:dyDescent="0.25">
      <c r="A6" s="1">
        <v>4</v>
      </c>
      <c r="B6" s="1"/>
      <c r="C6" s="1"/>
      <c r="D6" s="1"/>
      <c r="E6" s="1"/>
      <c r="F6" s="1"/>
      <c r="G6" s="1" t="s">
        <v>74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80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x14ac:dyDescent="0.25">
      <c r="A7" s="1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81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x14ac:dyDescent="0.25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82</v>
      </c>
      <c r="P8" s="1" t="s">
        <v>83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x14ac:dyDescent="0.25">
      <c r="A9" s="1">
        <v>7</v>
      </c>
      <c r="B9" s="1"/>
      <c r="C9" s="1"/>
      <c r="D9" s="1"/>
      <c r="E9" s="1"/>
      <c r="F9" s="1"/>
      <c r="G9" s="1"/>
      <c r="H9" s="1" t="s">
        <v>84</v>
      </c>
      <c r="I9" s="1" t="s">
        <v>85</v>
      </c>
      <c r="J9" s="1" t="s">
        <v>85</v>
      </c>
      <c r="K9" s="1" t="s">
        <v>86</v>
      </c>
      <c r="L9" s="1" t="s">
        <v>86</v>
      </c>
      <c r="M9" s="1" t="s">
        <v>86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x14ac:dyDescent="0.25">
      <c r="A10" s="1">
        <v>8</v>
      </c>
      <c r="B10" s="1"/>
      <c r="C10" s="1"/>
      <c r="D10" s="1"/>
      <c r="E10" s="1"/>
      <c r="F10" s="1"/>
      <c r="G10" s="1"/>
      <c r="H10" s="1" t="s">
        <v>85</v>
      </c>
      <c r="I10" s="1" t="s">
        <v>87</v>
      </c>
      <c r="J10" s="1" t="s">
        <v>87</v>
      </c>
      <c r="K10" s="1" t="s">
        <v>88</v>
      </c>
      <c r="L10" s="1" t="s">
        <v>88</v>
      </c>
      <c r="M10" s="1" t="s">
        <v>88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x14ac:dyDescent="0.25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 t="s">
        <v>89</v>
      </c>
      <c r="L11" s="1" t="s">
        <v>89</v>
      </c>
      <c r="M11" s="1" t="s">
        <v>89</v>
      </c>
      <c r="N11" s="1"/>
      <c r="O11" s="1"/>
      <c r="P11" s="1" t="s">
        <v>89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x14ac:dyDescent="0.25">
      <c r="A12" s="1">
        <v>10</v>
      </c>
      <c r="B12" s="1"/>
      <c r="C12" s="1"/>
      <c r="D12" s="1"/>
      <c r="E12" s="1" t="s">
        <v>88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x14ac:dyDescent="0.25">
      <c r="A13" s="1">
        <v>11</v>
      </c>
      <c r="B13" s="1"/>
      <c r="C13" s="1"/>
      <c r="D13" s="1"/>
      <c r="E13" s="1" t="s">
        <v>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x14ac:dyDescent="0.25">
      <c r="A14" s="1">
        <v>12</v>
      </c>
      <c r="B14" s="1"/>
      <c r="C14" s="1"/>
      <c r="D14" s="1" t="s">
        <v>91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x14ac:dyDescent="0.25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92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 x14ac:dyDescent="0.25">
      <c r="A16" s="1">
        <v>14</v>
      </c>
      <c r="B16" s="1"/>
      <c r="C16" s="1"/>
      <c r="D16" s="1"/>
      <c r="E16" s="1" t="s">
        <v>93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94</v>
      </c>
      <c r="R16" s="1" t="s">
        <v>95</v>
      </c>
      <c r="S16" s="1" t="s">
        <v>96</v>
      </c>
      <c r="T16" s="1" t="s">
        <v>97</v>
      </c>
      <c r="U16" s="1" t="s">
        <v>98</v>
      </c>
      <c r="V16" s="1" t="s">
        <v>99</v>
      </c>
      <c r="W16" s="1" t="s">
        <v>100</v>
      </c>
      <c r="X16" s="1" t="s">
        <v>101</v>
      </c>
      <c r="Y16" s="1" t="s">
        <v>102</v>
      </c>
      <c r="Z16" s="1" t="s">
        <v>103</v>
      </c>
      <c r="AA16" s="1" t="s">
        <v>104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x14ac:dyDescent="0.2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105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x14ac:dyDescent="0.2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106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 x14ac:dyDescent="0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 t="s">
        <v>107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 x14ac:dyDescent="0.2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 x14ac:dyDescent="0.25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 t="s">
        <v>108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x14ac:dyDescent="0.25">
      <c r="A22" s="1">
        <v>20</v>
      </c>
      <c r="B22" s="1"/>
      <c r="C22" s="1"/>
      <c r="D22" s="1"/>
      <c r="E22" s="1"/>
      <c r="F22" s="1" t="s">
        <v>109</v>
      </c>
      <c r="G22" s="1"/>
      <c r="H22" s="1"/>
      <c r="I22" s="1"/>
      <c r="J22" s="1"/>
      <c r="K22" s="1" t="s">
        <v>110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 t="s">
        <v>111</v>
      </c>
      <c r="AE22" s="1" t="s">
        <v>112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x14ac:dyDescent="0.25">
      <c r="A23" s="1">
        <v>21</v>
      </c>
      <c r="B23" s="1"/>
      <c r="C23" s="1"/>
      <c r="D23" s="1"/>
      <c r="E23" s="1"/>
      <c r="F23" s="1" t="s">
        <v>113</v>
      </c>
      <c r="G23" s="1"/>
      <c r="H23" s="1"/>
      <c r="I23" s="1"/>
      <c r="J23" s="1"/>
      <c r="K23" s="1" t="s">
        <v>113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 t="s">
        <v>113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x14ac:dyDescent="0.25">
      <c r="A24" s="1">
        <v>22</v>
      </c>
      <c r="B24" s="1"/>
      <c r="C24" s="1"/>
      <c r="D24" s="1"/>
      <c r="E24" s="1"/>
      <c r="F24" s="1" t="s">
        <v>114</v>
      </c>
      <c r="G24" s="1"/>
      <c r="H24" s="1"/>
      <c r="I24" s="1"/>
      <c r="J24" s="1"/>
      <c r="K24" s="1" t="s">
        <v>114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 t="s">
        <v>114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x14ac:dyDescent="0.25">
      <c r="A25" s="1">
        <v>23</v>
      </c>
      <c r="B25" s="1"/>
      <c r="C25" s="1"/>
      <c r="D25" s="1"/>
      <c r="E25" s="1"/>
      <c r="F25" s="1" t="s">
        <v>115</v>
      </c>
      <c r="G25" s="1"/>
      <c r="H25" s="1"/>
      <c r="I25" s="1"/>
      <c r="J25" s="1"/>
      <c r="K25" s="1" t="s">
        <v>115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 t="s">
        <v>115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x14ac:dyDescent="0.25">
      <c r="A26" s="1">
        <v>24</v>
      </c>
      <c r="B26" s="1"/>
      <c r="C26" s="1"/>
      <c r="D26" s="1"/>
      <c r="E26" s="1"/>
      <c r="F26" s="1" t="s">
        <v>116</v>
      </c>
      <c r="G26" s="1"/>
      <c r="H26" s="1"/>
      <c r="I26" s="1"/>
      <c r="J26" s="1"/>
      <c r="K26" s="1" t="s">
        <v>116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116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x14ac:dyDescent="0.25">
      <c r="A27" s="1">
        <v>25</v>
      </c>
      <c r="B27" s="1"/>
      <c r="C27" s="1"/>
      <c r="D27" s="1"/>
      <c r="E27" s="1"/>
      <c r="F27" s="1" t="s">
        <v>117</v>
      </c>
      <c r="G27" s="1"/>
      <c r="H27" s="1"/>
      <c r="I27" s="1"/>
      <c r="J27" s="1"/>
      <c r="K27" s="1" t="s">
        <v>117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 t="s">
        <v>117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x14ac:dyDescent="0.25">
      <c r="A28" s="1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118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x14ac:dyDescent="0.25">
      <c r="A29" s="1">
        <v>27</v>
      </c>
      <c r="B29" s="1"/>
      <c r="C29" s="1"/>
      <c r="D29" s="1"/>
      <c r="E29" s="1" t="s">
        <v>119</v>
      </c>
      <c r="F29" s="1"/>
      <c r="G29" s="1"/>
      <c r="H29" s="1"/>
      <c r="I29" s="1"/>
      <c r="J29" s="1"/>
      <c r="K29" s="1" t="s">
        <v>120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121</v>
      </c>
      <c r="AH29" s="1" t="s">
        <v>122</v>
      </c>
      <c r="AI29" s="1" t="s">
        <v>123</v>
      </c>
      <c r="AJ29" s="1" t="s">
        <v>124</v>
      </c>
      <c r="AK29" s="1" t="s">
        <v>125</v>
      </c>
      <c r="AL29" s="1" t="s">
        <v>126</v>
      </c>
      <c r="AM29" s="1" t="s">
        <v>127</v>
      </c>
      <c r="AN29" s="1" t="s">
        <v>128</v>
      </c>
      <c r="AO29" s="1" t="s">
        <v>129</v>
      </c>
      <c r="AP29" s="1" t="s">
        <v>130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x14ac:dyDescent="0.25">
      <c r="A30" s="1">
        <v>28</v>
      </c>
      <c r="B30" s="1"/>
      <c r="C30" s="1"/>
      <c r="D30" s="1"/>
      <c r="E30" s="1" t="s">
        <v>131</v>
      </c>
      <c r="F30" s="1"/>
      <c r="G30" s="1"/>
      <c r="H30" s="1"/>
      <c r="I30" s="1"/>
      <c r="J30" s="1"/>
      <c r="K30" s="1" t="s">
        <v>131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132</v>
      </c>
      <c r="AH30" s="1" t="s">
        <v>133</v>
      </c>
      <c r="AI30" s="1" t="s">
        <v>133</v>
      </c>
      <c r="AJ30" s="1" t="s">
        <v>133</v>
      </c>
      <c r="AK30" s="1" t="s">
        <v>131</v>
      </c>
      <c r="AL30" s="1" t="s">
        <v>133</v>
      </c>
      <c r="AM30" s="1" t="s">
        <v>133</v>
      </c>
      <c r="AN30" s="1" t="s">
        <v>131</v>
      </c>
      <c r="AO30" s="1" t="s">
        <v>131</v>
      </c>
      <c r="AP30" s="1" t="s">
        <v>131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x14ac:dyDescent="0.25">
      <c r="A31" s="1">
        <v>29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x14ac:dyDescent="0.25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x14ac:dyDescent="0.25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s">
        <v>134</v>
      </c>
      <c r="AR33" s="1" t="s">
        <v>135</v>
      </c>
      <c r="AS33" s="1" t="s">
        <v>136</v>
      </c>
      <c r="AT33" s="1" t="s">
        <v>137</v>
      </c>
      <c r="AU33" s="1" t="s">
        <v>138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x14ac:dyDescent="0.25">
      <c r="A34" s="1">
        <v>32</v>
      </c>
      <c r="B34" s="1"/>
      <c r="C34" s="1"/>
      <c r="D34" s="1"/>
      <c r="E34" s="1" t="s">
        <v>139</v>
      </c>
      <c r="F34" s="1"/>
      <c r="G34" s="1"/>
      <c r="H34" s="1"/>
      <c r="I34" s="1"/>
      <c r="J34" s="1"/>
      <c r="K34" s="1" t="s">
        <v>140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 t="s">
        <v>141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x14ac:dyDescent="0.25">
      <c r="A35" s="1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142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x14ac:dyDescent="0.25">
      <c r="A36" s="1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 t="s">
        <v>143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x14ac:dyDescent="0.25">
      <c r="A37" s="1">
        <v>35</v>
      </c>
      <c r="B37" s="1"/>
      <c r="C37" s="1"/>
      <c r="D37" s="1"/>
      <c r="E37" s="1" t="s">
        <v>144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 t="s">
        <v>145</v>
      </c>
      <c r="S37" s="1" t="s">
        <v>146</v>
      </c>
      <c r="T37" s="1" t="s">
        <v>147</v>
      </c>
      <c r="U37" s="1" t="s">
        <v>148</v>
      </c>
      <c r="V37" s="1" t="s">
        <v>149</v>
      </c>
      <c r="W37" s="1" t="s">
        <v>150</v>
      </c>
      <c r="X37" s="1" t="s">
        <v>151</v>
      </c>
      <c r="Y37" s="1" t="s">
        <v>152</v>
      </c>
      <c r="Z37" s="1" t="s">
        <v>153</v>
      </c>
      <c r="AA37" s="1" t="s">
        <v>154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x14ac:dyDescent="0.25">
      <c r="A38" s="1">
        <v>36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 t="s">
        <v>155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x14ac:dyDescent="0.25">
      <c r="A39" s="1">
        <v>37</v>
      </c>
      <c r="B39" s="1"/>
      <c r="C39" s="1"/>
      <c r="D39" s="1"/>
      <c r="E39" s="1" t="s">
        <v>156</v>
      </c>
      <c r="F39" s="1"/>
      <c r="G39" s="1"/>
      <c r="H39" s="1"/>
      <c r="I39" s="1"/>
      <c r="J39" s="1"/>
      <c r="K39" s="1" t="s">
        <v>157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 t="s">
        <v>158</v>
      </c>
      <c r="AH39" s="1" t="s">
        <v>159</v>
      </c>
      <c r="AI39" s="1" t="s">
        <v>160</v>
      </c>
      <c r="AJ39" s="1" t="s">
        <v>161</v>
      </c>
      <c r="AK39" s="1" t="s">
        <v>156</v>
      </c>
      <c r="AL39" s="1" t="s">
        <v>161</v>
      </c>
      <c r="AM39" s="1" t="s">
        <v>161</v>
      </c>
      <c r="AN39" s="1" t="s">
        <v>156</v>
      </c>
      <c r="AO39" s="1" t="s">
        <v>156</v>
      </c>
      <c r="AP39" s="1" t="s">
        <v>156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x14ac:dyDescent="0.25">
      <c r="A40" s="1">
        <v>38</v>
      </c>
      <c r="B40" s="1"/>
      <c r="C40" s="1"/>
      <c r="D40" s="1"/>
      <c r="E40" s="1" t="s">
        <v>162</v>
      </c>
      <c r="F40" s="1"/>
      <c r="G40" s="1"/>
      <c r="H40" s="1"/>
      <c r="I40" s="1"/>
      <c r="J40" s="1"/>
      <c r="K40" s="1" t="s">
        <v>163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164</v>
      </c>
      <c r="AH40" s="1" t="s">
        <v>165</v>
      </c>
      <c r="AI40" s="1" t="s">
        <v>165</v>
      </c>
      <c r="AJ40" s="1" t="s">
        <v>165</v>
      </c>
      <c r="AK40" s="1" t="s">
        <v>162</v>
      </c>
      <c r="AL40" s="1" t="s">
        <v>165</v>
      </c>
      <c r="AM40" s="1" t="s">
        <v>165</v>
      </c>
      <c r="AN40" s="1" t="s">
        <v>162</v>
      </c>
      <c r="AO40" s="1" t="s">
        <v>162</v>
      </c>
      <c r="AP40" s="1" t="s">
        <v>162</v>
      </c>
      <c r="AQ40" s="1"/>
      <c r="AR40" s="1"/>
      <c r="AS40" s="1"/>
      <c r="AT40" s="1"/>
      <c r="AU40" s="1"/>
      <c r="AV40" s="1"/>
      <c r="AW40" s="1" t="s">
        <v>161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x14ac:dyDescent="0.25">
      <c r="A41" s="1">
        <v>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 t="s">
        <v>162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x14ac:dyDescent="0.25">
      <c r="A42" s="1">
        <v>40</v>
      </c>
      <c r="B42" s="1"/>
      <c r="C42" s="1"/>
      <c r="D42" s="1"/>
      <c r="E42" s="1"/>
      <c r="F42" s="1"/>
      <c r="G42" s="1"/>
      <c r="H42" s="1"/>
      <c r="I42" s="1"/>
      <c r="J42" s="1"/>
      <c r="K42" s="1" t="s">
        <v>166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 t="s">
        <v>167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 t="s">
        <v>168</v>
      </c>
      <c r="AZ42" s="1" t="s">
        <v>169</v>
      </c>
      <c r="BA42" s="1" t="s">
        <v>170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x14ac:dyDescent="0.25">
      <c r="A43" s="1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 t="s">
        <v>171</v>
      </c>
      <c r="BC43" s="1" t="s">
        <v>172</v>
      </c>
      <c r="BD43" s="1" t="s">
        <v>173</v>
      </c>
      <c r="BE43" s="1" t="s">
        <v>174</v>
      </c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x14ac:dyDescent="0.25">
      <c r="A44" s="1">
        <v>42</v>
      </c>
      <c r="B44" s="1"/>
      <c r="C44" s="1"/>
      <c r="D44" s="1"/>
      <c r="E44" s="1"/>
      <c r="F44" s="1"/>
      <c r="G44" s="1"/>
      <c r="H44" s="1"/>
      <c r="I44" s="1"/>
      <c r="J44" s="1"/>
      <c r="K44" s="1" t="s">
        <v>175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 t="s">
        <v>175</v>
      </c>
      <c r="AY44" s="1"/>
      <c r="AZ44" s="1"/>
      <c r="BA44" s="1" t="s">
        <v>175</v>
      </c>
      <c r="BB44" s="1"/>
      <c r="BC44" s="1" t="s">
        <v>176</v>
      </c>
      <c r="BD44" s="1" t="s">
        <v>176</v>
      </c>
      <c r="BE44" s="1" t="s">
        <v>176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x14ac:dyDescent="0.25">
      <c r="A45" s="1">
        <v>43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 t="s">
        <v>177</v>
      </c>
      <c r="BG45" s="1" t="s">
        <v>178</v>
      </c>
      <c r="BH45" s="1" t="s">
        <v>179</v>
      </c>
      <c r="BI45" s="1" t="s">
        <v>180</v>
      </c>
      <c r="BJ45" s="1"/>
      <c r="BK45" s="1"/>
      <c r="BL45" s="1"/>
      <c r="BM45" s="1"/>
      <c r="BN45" s="1"/>
      <c r="BO45" s="1"/>
      <c r="BP45" s="1"/>
      <c r="BQ45" s="1"/>
    </row>
    <row r="46" spans="1:69" x14ac:dyDescent="0.25">
      <c r="A46" s="1">
        <v>44</v>
      </c>
      <c r="B46" s="1"/>
      <c r="C46" s="1"/>
      <c r="D46" s="1"/>
      <c r="E46" s="1" t="s">
        <v>181</v>
      </c>
      <c r="F46" s="1"/>
      <c r="G46" s="1"/>
      <c r="H46" s="1"/>
      <c r="I46" s="1"/>
      <c r="J46" s="1"/>
      <c r="K46" s="1" t="s">
        <v>181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182</v>
      </c>
      <c r="AH46" s="1" t="s">
        <v>183</v>
      </c>
      <c r="AI46" s="1" t="s">
        <v>183</v>
      </c>
      <c r="AJ46" s="1" t="s">
        <v>183</v>
      </c>
      <c r="AK46" s="1" t="s">
        <v>181</v>
      </c>
      <c r="AL46" s="1" t="s">
        <v>183</v>
      </c>
      <c r="AM46" s="1" t="s">
        <v>183</v>
      </c>
      <c r="AN46" s="1" t="s">
        <v>181</v>
      </c>
      <c r="AO46" s="1" t="s">
        <v>181</v>
      </c>
      <c r="AP46" s="1" t="s">
        <v>181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x14ac:dyDescent="0.25">
      <c r="A47" s="1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 t="s">
        <v>184</v>
      </c>
      <c r="BH47" s="1" t="s">
        <v>184</v>
      </c>
      <c r="BI47" s="1" t="s">
        <v>184</v>
      </c>
      <c r="BJ47" s="1"/>
      <c r="BK47" s="1"/>
      <c r="BL47" s="1"/>
      <c r="BM47" s="1"/>
      <c r="BN47" s="1"/>
      <c r="BO47" s="1"/>
      <c r="BP47" s="1"/>
      <c r="BQ47" s="1"/>
    </row>
    <row r="48" spans="1:69" x14ac:dyDescent="0.25">
      <c r="A48" s="1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 t="s">
        <v>185</v>
      </c>
      <c r="BH48" s="1" t="s">
        <v>185</v>
      </c>
      <c r="BI48" s="1" t="s">
        <v>185</v>
      </c>
      <c r="BJ48" s="1"/>
      <c r="BK48" s="1"/>
      <c r="BL48" s="1"/>
      <c r="BM48" s="1"/>
      <c r="BN48" s="1"/>
      <c r="BO48" s="1"/>
      <c r="BP48" s="1"/>
      <c r="BQ48" s="1"/>
    </row>
    <row r="49" spans="1:69" x14ac:dyDescent="0.25">
      <c r="A49" s="1">
        <v>47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 t="s">
        <v>186</v>
      </c>
      <c r="BH49" s="1" t="s">
        <v>186</v>
      </c>
      <c r="BI49" s="1" t="s">
        <v>186</v>
      </c>
      <c r="BJ49" s="1"/>
      <c r="BK49" s="1"/>
      <c r="BL49" s="1"/>
      <c r="BM49" s="1"/>
      <c r="BN49" s="1"/>
      <c r="BO49" s="1"/>
      <c r="BP49" s="1"/>
      <c r="BQ49" s="1"/>
    </row>
    <row r="50" spans="1:69" x14ac:dyDescent="0.25">
      <c r="A50" s="1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 t="s">
        <v>187</v>
      </c>
      <c r="BH50" s="1" t="s">
        <v>187</v>
      </c>
      <c r="BI50" s="1" t="s">
        <v>187</v>
      </c>
      <c r="BJ50" s="1"/>
      <c r="BK50" s="1"/>
      <c r="BL50" s="1"/>
      <c r="BM50" s="1"/>
      <c r="BN50" s="1"/>
      <c r="BO50" s="1"/>
      <c r="BP50" s="1"/>
      <c r="BQ50" s="1"/>
    </row>
    <row r="51" spans="1:69" x14ac:dyDescent="0.25">
      <c r="A51" s="1">
        <v>49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 t="s">
        <v>188</v>
      </c>
      <c r="BH51" s="1" t="s">
        <v>188</v>
      </c>
      <c r="BI51" s="1" t="s">
        <v>188</v>
      </c>
      <c r="BJ51" s="1"/>
      <c r="BK51" s="1"/>
      <c r="BL51" s="1"/>
      <c r="BM51" s="1"/>
      <c r="BN51" s="1"/>
      <c r="BO51" s="1"/>
      <c r="BP51" s="1"/>
      <c r="BQ51" s="1"/>
    </row>
    <row r="52" spans="1:69" x14ac:dyDescent="0.25">
      <c r="A52" s="1">
        <v>50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 t="s">
        <v>189</v>
      </c>
      <c r="BH52" s="1" t="s">
        <v>189</v>
      </c>
      <c r="BI52" s="1" t="s">
        <v>189</v>
      </c>
      <c r="BJ52" s="1"/>
      <c r="BK52" s="1"/>
      <c r="BL52" s="1"/>
      <c r="BM52" s="1"/>
      <c r="BN52" s="1"/>
      <c r="BO52" s="1"/>
      <c r="BP52" s="1"/>
      <c r="BQ52" s="1"/>
    </row>
    <row r="53" spans="1:69" x14ac:dyDescent="0.25">
      <c r="A53" s="1">
        <v>51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 t="s">
        <v>181</v>
      </c>
      <c r="BK53" s="1"/>
      <c r="BL53" s="1"/>
      <c r="BM53" s="1"/>
      <c r="BN53" s="1"/>
      <c r="BO53" s="1"/>
      <c r="BP53" s="1"/>
      <c r="BQ53" s="1"/>
    </row>
    <row r="54" spans="1:69" x14ac:dyDescent="0.25">
      <c r="A54" s="1">
        <v>52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 t="s">
        <v>190</v>
      </c>
      <c r="BL54" s="1"/>
      <c r="BM54" s="1"/>
      <c r="BN54" s="1"/>
      <c r="BO54" s="1"/>
      <c r="BP54" s="1"/>
      <c r="BQ54" s="1"/>
    </row>
    <row r="55" spans="1:69" x14ac:dyDescent="0.25">
      <c r="A55" s="1">
        <v>53</v>
      </c>
      <c r="B55" s="1"/>
      <c r="C55" s="1"/>
      <c r="D55" s="1"/>
      <c r="E55" s="1" t="s">
        <v>191</v>
      </c>
      <c r="F55" s="1"/>
      <c r="G55" s="1"/>
      <c r="H55" s="1"/>
      <c r="I55" s="1"/>
      <c r="J55" s="1"/>
      <c r="K55" s="1" t="s">
        <v>191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192</v>
      </c>
      <c r="AH55" s="1" t="s">
        <v>193</v>
      </c>
      <c r="AI55" s="1" t="s">
        <v>193</v>
      </c>
      <c r="AJ55" s="1" t="s">
        <v>193</v>
      </c>
      <c r="AK55" s="1" t="s">
        <v>191</v>
      </c>
      <c r="AL55" s="1" t="s">
        <v>193</v>
      </c>
      <c r="AM55" s="1" t="s">
        <v>193</v>
      </c>
      <c r="AN55" s="1" t="s">
        <v>191</v>
      </c>
      <c r="AO55" s="1" t="s">
        <v>191</v>
      </c>
      <c r="AP55" s="1" t="s">
        <v>191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x14ac:dyDescent="0.25">
      <c r="A56" s="1">
        <v>54</v>
      </c>
      <c r="B56" s="1"/>
      <c r="C56" s="1"/>
      <c r="D56" s="1"/>
      <c r="E56" s="1" t="s">
        <v>191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x14ac:dyDescent="0.25">
      <c r="A57" s="1">
        <v>55</v>
      </c>
      <c r="B57" s="1"/>
      <c r="C57" s="1"/>
      <c r="D57" s="1"/>
      <c r="E57" s="1"/>
      <c r="F57" s="1" t="s">
        <v>194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x14ac:dyDescent="0.25">
      <c r="A58" s="1">
        <v>56</v>
      </c>
      <c r="B58" s="1"/>
      <c r="C58" s="1"/>
      <c r="D58" s="1"/>
      <c r="E58" s="1"/>
      <c r="F58" s="1" t="s">
        <v>195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x14ac:dyDescent="0.25">
      <c r="A59" s="1">
        <v>57</v>
      </c>
      <c r="B59" s="1"/>
      <c r="C59" s="1"/>
      <c r="D59" s="1"/>
      <c r="E59" s="1"/>
      <c r="F59" s="1" t="s">
        <v>196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x14ac:dyDescent="0.25">
      <c r="A60" s="1">
        <v>58</v>
      </c>
      <c r="B60" s="1"/>
      <c r="C60" s="1"/>
      <c r="D60" s="1"/>
      <c r="E60" s="1"/>
      <c r="F60" s="1" t="s">
        <v>197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x14ac:dyDescent="0.25">
      <c r="A61" s="1">
        <v>59</v>
      </c>
      <c r="B61" s="1"/>
      <c r="C61" s="1"/>
      <c r="D61" s="1"/>
      <c r="E61" s="1"/>
      <c r="F61" s="1" t="s">
        <v>198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x14ac:dyDescent="0.25">
      <c r="A62" s="1">
        <v>60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 t="s">
        <v>199</v>
      </c>
      <c r="BM62" s="1"/>
      <c r="BN62" s="1"/>
      <c r="BO62" s="1"/>
      <c r="BP62" s="1"/>
      <c r="BQ62" s="1"/>
    </row>
    <row r="63" spans="1:69" x14ac:dyDescent="0.25">
      <c r="A63" s="1">
        <v>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 t="s">
        <v>200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x14ac:dyDescent="0.25">
      <c r="A64" s="1">
        <v>62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 t="s">
        <v>201</v>
      </c>
      <c r="BM64" s="1"/>
      <c r="BN64" s="1"/>
      <c r="BO64" s="1"/>
      <c r="BP64" s="1"/>
      <c r="BQ64" s="1"/>
    </row>
    <row r="65" spans="1:69" x14ac:dyDescent="0.25">
      <c r="A65" s="1">
        <v>63</v>
      </c>
      <c r="B65" s="1"/>
      <c r="C65" s="1"/>
      <c r="D65" s="1"/>
      <c r="E65" s="1"/>
      <c r="F65" s="1" t="s">
        <v>202</v>
      </c>
      <c r="G65" s="1"/>
      <c r="H65" s="1"/>
      <c r="I65" s="1"/>
      <c r="J65" s="1"/>
      <c r="K65" s="1" t="s">
        <v>202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">
        <v>203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x14ac:dyDescent="0.25">
      <c r="A66" s="1">
        <v>64</v>
      </c>
      <c r="B66" s="1"/>
      <c r="C66" s="1"/>
      <c r="D66" s="1"/>
      <c r="E66" s="1"/>
      <c r="F66" s="1" t="s">
        <v>113</v>
      </c>
      <c r="G66" s="1"/>
      <c r="H66" s="1"/>
      <c r="I66" s="1"/>
      <c r="J66" s="1"/>
      <c r="K66" s="1" t="s">
        <v>113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 t="s">
        <v>113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x14ac:dyDescent="0.25">
      <c r="A67" s="1">
        <v>65</v>
      </c>
      <c r="B67" s="1"/>
      <c r="C67" s="1"/>
      <c r="D67" s="1"/>
      <c r="E67" s="1"/>
      <c r="F67" s="1" t="s">
        <v>114</v>
      </c>
      <c r="G67" s="1"/>
      <c r="H67" s="1"/>
      <c r="I67" s="1"/>
      <c r="J67" s="1"/>
      <c r="K67" s="1" t="s">
        <v>114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 t="s">
        <v>114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x14ac:dyDescent="0.25">
      <c r="A68" s="1">
        <v>66</v>
      </c>
      <c r="B68" s="1"/>
      <c r="C68" s="1"/>
      <c r="D68" s="1"/>
      <c r="E68" s="1"/>
      <c r="F68" s="1" t="s">
        <v>115</v>
      </c>
      <c r="G68" s="1"/>
      <c r="H68" s="1"/>
      <c r="I68" s="1"/>
      <c r="J68" s="1"/>
      <c r="K68" s="1" t="s">
        <v>115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 t="s">
        <v>115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x14ac:dyDescent="0.25">
      <c r="A69" s="1">
        <v>67</v>
      </c>
      <c r="B69" s="1"/>
      <c r="C69" s="1"/>
      <c r="D69" s="1"/>
      <c r="E69" s="1"/>
      <c r="F69" s="1" t="s">
        <v>116</v>
      </c>
      <c r="G69" s="1"/>
      <c r="H69" s="1"/>
      <c r="I69" s="1"/>
      <c r="J69" s="1"/>
      <c r="K69" s="1" t="s">
        <v>116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 t="s">
        <v>116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x14ac:dyDescent="0.25">
      <c r="A70" s="1">
        <v>68</v>
      </c>
      <c r="B70" s="1"/>
      <c r="C70" s="1"/>
      <c r="D70" s="1"/>
      <c r="E70" s="1"/>
      <c r="F70" s="1" t="s">
        <v>117</v>
      </c>
      <c r="G70" s="1"/>
      <c r="H70" s="1"/>
      <c r="I70" s="1"/>
      <c r="J70" s="1"/>
      <c r="K70" s="1" t="s">
        <v>117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 t="s">
        <v>117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x14ac:dyDescent="0.25">
      <c r="A71" s="1">
        <v>69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 t="s">
        <v>202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x14ac:dyDescent="0.25">
      <c r="A72" s="1">
        <v>70</v>
      </c>
      <c r="B72" s="1"/>
      <c r="C72" s="1"/>
      <c r="D72" s="1"/>
      <c r="E72" s="1" t="s">
        <v>204</v>
      </c>
      <c r="F72" s="1"/>
      <c r="G72" s="1"/>
      <c r="H72" s="1"/>
      <c r="I72" s="1"/>
      <c r="J72" s="1"/>
      <c r="K72" s="1" t="s">
        <v>204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205</v>
      </c>
      <c r="AH72" s="1" t="s">
        <v>206</v>
      </c>
      <c r="AI72" s="1" t="s">
        <v>206</v>
      </c>
      <c r="AJ72" s="1" t="s">
        <v>206</v>
      </c>
      <c r="AK72" s="1" t="s">
        <v>204</v>
      </c>
      <c r="AL72" s="1" t="s">
        <v>206</v>
      </c>
      <c r="AM72" s="1" t="s">
        <v>206</v>
      </c>
      <c r="AN72" s="1" t="s">
        <v>204</v>
      </c>
      <c r="AO72" s="1" t="s">
        <v>204</v>
      </c>
      <c r="AP72" s="1" t="s">
        <v>204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x14ac:dyDescent="0.25">
      <c r="A73" s="1">
        <v>71</v>
      </c>
      <c r="B73" s="1"/>
      <c r="C73" s="1"/>
      <c r="D73" s="1"/>
      <c r="E73" s="1" t="s">
        <v>207</v>
      </c>
      <c r="F73" s="1"/>
      <c r="G73" s="1"/>
      <c r="H73" s="1"/>
      <c r="I73" s="1"/>
      <c r="J73" s="1"/>
      <c r="K73" s="1" t="s">
        <v>207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 t="s">
        <v>206</v>
      </c>
      <c r="AH73" s="1" t="s">
        <v>208</v>
      </c>
      <c r="AI73" s="1" t="s">
        <v>208</v>
      </c>
      <c r="AJ73" s="1" t="s">
        <v>208</v>
      </c>
      <c r="AK73" s="1" t="s">
        <v>207</v>
      </c>
      <c r="AL73" s="1" t="s">
        <v>208</v>
      </c>
      <c r="AM73" s="1" t="s">
        <v>208</v>
      </c>
      <c r="AN73" s="1" t="s">
        <v>207</v>
      </c>
      <c r="AO73" s="1" t="s">
        <v>207</v>
      </c>
      <c r="AP73" s="1" t="s">
        <v>207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x14ac:dyDescent="0.25">
      <c r="A74" s="1">
        <v>72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x14ac:dyDescent="0.25">
      <c r="A75" s="1">
        <v>73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x14ac:dyDescent="0.25">
      <c r="A76" s="1">
        <v>74</v>
      </c>
      <c r="B76" s="1"/>
      <c r="C76" s="1"/>
      <c r="D76" s="1"/>
      <c r="E76" s="1"/>
      <c r="F76" s="1" t="s">
        <v>209</v>
      </c>
      <c r="G76" s="1"/>
      <c r="H76" s="1"/>
      <c r="I76" s="1"/>
      <c r="J76" s="1"/>
      <c r="K76" s="1" t="s">
        <v>209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 t="s">
        <v>209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x14ac:dyDescent="0.25">
      <c r="A77" s="1">
        <v>75</v>
      </c>
      <c r="B77" s="1"/>
      <c r="C77" s="1"/>
      <c r="D77" s="1"/>
      <c r="E77" s="1"/>
      <c r="F77" s="1"/>
      <c r="G77" s="1"/>
      <c r="H77" s="1"/>
      <c r="I77" s="1"/>
      <c r="J77" s="1"/>
      <c r="K77" s="1" t="s">
        <v>210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 t="s">
        <v>211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 t="s">
        <v>212</v>
      </c>
      <c r="AZ77" s="1" t="s">
        <v>213</v>
      </c>
      <c r="BA77" s="1" t="s">
        <v>214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x14ac:dyDescent="0.25">
      <c r="A78" s="1">
        <v>76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 t="s">
        <v>215</v>
      </c>
      <c r="BC78" s="1" t="s">
        <v>216</v>
      </c>
      <c r="BD78" s="1" t="s">
        <v>217</v>
      </c>
      <c r="BE78" s="1" t="s">
        <v>218</v>
      </c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x14ac:dyDescent="0.25">
      <c r="A79" s="1">
        <v>77</v>
      </c>
      <c r="B79" s="1"/>
      <c r="C79" s="1"/>
      <c r="D79" s="1"/>
      <c r="E79" s="1"/>
      <c r="F79" s="1" t="s">
        <v>175</v>
      </c>
      <c r="G79" s="1"/>
      <c r="H79" s="1"/>
      <c r="I79" s="1"/>
      <c r="J79" s="1"/>
      <c r="K79" s="1" t="s">
        <v>175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 t="s">
        <v>175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 t="s">
        <v>175</v>
      </c>
      <c r="BB79" s="1"/>
      <c r="BC79" s="1" t="s">
        <v>176</v>
      </c>
      <c r="BD79" s="1" t="s">
        <v>176</v>
      </c>
      <c r="BE79" s="1" t="s">
        <v>176</v>
      </c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x14ac:dyDescent="0.25">
      <c r="A80" s="1">
        <v>78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 t="s">
        <v>219</v>
      </c>
      <c r="BM80" s="1"/>
      <c r="BN80" s="1"/>
      <c r="BO80" s="1"/>
      <c r="BP80" s="1"/>
      <c r="BQ80" s="1"/>
    </row>
    <row r="81" spans="1:69" x14ac:dyDescent="0.25">
      <c r="A81" s="1">
        <v>79</v>
      </c>
      <c r="B81" s="1"/>
      <c r="C81" s="1"/>
      <c r="D81" s="1"/>
      <c r="E81" s="1"/>
      <c r="F81" s="1"/>
      <c r="G81" s="1"/>
      <c r="H81" s="1"/>
      <c r="I81" s="1"/>
      <c r="J81" s="1"/>
      <c r="K81" s="1" t="s">
        <v>220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 t="s">
        <v>221</v>
      </c>
      <c r="BN81" s="1" t="s">
        <v>222</v>
      </c>
      <c r="BO81" s="1"/>
      <c r="BP81" s="1"/>
      <c r="BQ81" s="1"/>
    </row>
    <row r="82" spans="1:69" x14ac:dyDescent="0.25">
      <c r="A82" s="1">
        <v>80</v>
      </c>
      <c r="B82" s="1"/>
      <c r="C82" s="1"/>
      <c r="D82" s="1"/>
      <c r="E82" s="1"/>
      <c r="F82" s="1"/>
      <c r="G82" s="1"/>
      <c r="H82" s="1"/>
      <c r="I82" s="1"/>
      <c r="J82" s="1"/>
      <c r="K82" s="1" t="s">
        <v>175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 t="s">
        <v>175</v>
      </c>
      <c r="BB82" s="1"/>
      <c r="BC82" s="1" t="s">
        <v>176</v>
      </c>
      <c r="BD82" s="1" t="s">
        <v>176</v>
      </c>
      <c r="BE82" s="1" t="s">
        <v>176</v>
      </c>
      <c r="BF82" s="1"/>
      <c r="BG82" s="1"/>
      <c r="BH82" s="1"/>
      <c r="BI82" s="1"/>
      <c r="BJ82" s="1"/>
      <c r="BK82" s="1"/>
      <c r="BL82" s="1" t="s">
        <v>175</v>
      </c>
      <c r="BM82" s="1"/>
      <c r="BN82" s="1" t="s">
        <v>175</v>
      </c>
      <c r="BO82" s="1"/>
      <c r="BP82" s="1"/>
      <c r="BQ82" s="1"/>
    </row>
    <row r="83" spans="1:69" x14ac:dyDescent="0.25">
      <c r="A83" s="1">
        <v>81</v>
      </c>
      <c r="B83" s="1"/>
      <c r="C83" s="1"/>
      <c r="D83" s="1"/>
      <c r="E83" s="1" t="s">
        <v>223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224</v>
      </c>
      <c r="S83" s="1" t="s">
        <v>225</v>
      </c>
      <c r="T83" s="1" t="s">
        <v>225</v>
      </c>
      <c r="U83" s="1" t="s">
        <v>225</v>
      </c>
      <c r="V83" s="1" t="s">
        <v>225</v>
      </c>
      <c r="W83" s="1" t="s">
        <v>225</v>
      </c>
      <c r="X83" s="1" t="s">
        <v>223</v>
      </c>
      <c r="Y83" s="1" t="s">
        <v>223</v>
      </c>
      <c r="Z83" s="1" t="s">
        <v>223</v>
      </c>
      <c r="AA83" s="1" t="s">
        <v>223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x14ac:dyDescent="0.25">
      <c r="A84" s="1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 t="s">
        <v>226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x14ac:dyDescent="0.25">
      <c r="A85" s="1">
        <v>83</v>
      </c>
      <c r="B85" s="1"/>
      <c r="C85" s="1"/>
      <c r="D85" s="1"/>
      <c r="E85" s="1" t="s">
        <v>227</v>
      </c>
      <c r="F85" s="1"/>
      <c r="G85" s="1"/>
      <c r="H85" s="1"/>
      <c r="I85" s="1"/>
      <c r="J85" s="1"/>
      <c r="K85" s="1" t="s">
        <v>227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225</v>
      </c>
      <c r="AI85" s="1" t="s">
        <v>228</v>
      </c>
      <c r="AJ85" s="1" t="s">
        <v>228</v>
      </c>
      <c r="AK85" s="1" t="s">
        <v>227</v>
      </c>
      <c r="AL85" s="1" t="s">
        <v>228</v>
      </c>
      <c r="AM85" s="1" t="s">
        <v>228</v>
      </c>
      <c r="AN85" s="1" t="s">
        <v>227</v>
      </c>
      <c r="AO85" s="1" t="s">
        <v>227</v>
      </c>
      <c r="AP85" s="1" t="s">
        <v>227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x14ac:dyDescent="0.25">
      <c r="A86" s="1">
        <v>84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 t="s">
        <v>229</v>
      </c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x14ac:dyDescent="0.25">
      <c r="A87" s="1">
        <v>85</v>
      </c>
      <c r="B87" s="1"/>
      <c r="C87" s="1"/>
      <c r="D87" s="1"/>
      <c r="E87" s="1" t="s">
        <v>230</v>
      </c>
      <c r="F87" s="1"/>
      <c r="G87" s="1"/>
      <c r="H87" s="1"/>
      <c r="I87" s="1"/>
      <c r="J87" s="1"/>
      <c r="K87" s="1" t="s">
        <v>230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 t="s">
        <v>230</v>
      </c>
      <c r="AD87" s="1"/>
      <c r="AE87" s="1"/>
      <c r="AF87" s="1"/>
      <c r="AG87" s="1"/>
      <c r="AH87" s="1"/>
      <c r="AI87" s="1"/>
      <c r="AJ87" s="1"/>
      <c r="AK87" s="1" t="s">
        <v>230</v>
      </c>
      <c r="AL87" s="1"/>
      <c r="AM87" s="1"/>
      <c r="AN87" s="1" t="s">
        <v>230</v>
      </c>
      <c r="AO87" s="1" t="s">
        <v>230</v>
      </c>
      <c r="AP87" s="1" t="s">
        <v>230</v>
      </c>
      <c r="AQ87" s="1"/>
      <c r="AR87" s="1"/>
      <c r="AS87" s="1"/>
      <c r="AT87" s="1"/>
      <c r="AU87" s="1"/>
      <c r="AV87" s="1"/>
      <c r="AW87" s="1"/>
      <c r="AX87" s="1" t="s">
        <v>230</v>
      </c>
      <c r="AY87" s="1"/>
      <c r="AZ87" s="1"/>
      <c r="BA87" s="1"/>
      <c r="BB87" s="1"/>
      <c r="BC87" s="1" t="s">
        <v>230</v>
      </c>
      <c r="BD87" s="1" t="s">
        <v>230</v>
      </c>
      <c r="BE87" s="1" t="s">
        <v>230</v>
      </c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x14ac:dyDescent="0.25">
      <c r="A88" s="1">
        <v>86</v>
      </c>
      <c r="B88" s="1"/>
      <c r="C88" s="1"/>
      <c r="D88" s="1"/>
      <c r="E88" s="1" t="s">
        <v>231</v>
      </c>
      <c r="F88" s="1"/>
      <c r="G88" s="1"/>
      <c r="H88" s="1"/>
      <c r="I88" s="1"/>
      <c r="J88" s="1"/>
      <c r="K88" s="1" t="s">
        <v>231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 t="s">
        <v>231</v>
      </c>
      <c r="AD88" s="1"/>
      <c r="AE88" s="1"/>
      <c r="AF88" s="1"/>
      <c r="AG88" s="1"/>
      <c r="AH88" s="1"/>
      <c r="AI88" s="1"/>
      <c r="AJ88" s="1"/>
      <c r="AK88" s="1" t="s">
        <v>231</v>
      </c>
      <c r="AL88" s="1"/>
      <c r="AM88" s="1"/>
      <c r="AN88" s="1" t="s">
        <v>231</v>
      </c>
      <c r="AO88" s="1" t="s">
        <v>231</v>
      </c>
      <c r="AP88" s="1" t="s">
        <v>231</v>
      </c>
      <c r="AQ88" s="1"/>
      <c r="AR88" s="1"/>
      <c r="AS88" s="1"/>
      <c r="AT88" s="1"/>
      <c r="AU88" s="1"/>
      <c r="AV88" s="1"/>
      <c r="AW88" s="1"/>
      <c r="AX88" s="1" t="s">
        <v>231</v>
      </c>
      <c r="AY88" s="1"/>
      <c r="AZ88" s="1"/>
      <c r="BA88" s="1"/>
      <c r="BB88" s="1"/>
      <c r="BC88" s="1" t="s">
        <v>231</v>
      </c>
      <c r="BD88" s="1" t="s">
        <v>231</v>
      </c>
      <c r="BE88" s="1" t="s">
        <v>231</v>
      </c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x14ac:dyDescent="0.25">
      <c r="A89" s="1">
        <v>87</v>
      </c>
      <c r="B89" s="1"/>
      <c r="C89" s="1"/>
      <c r="D89" s="1"/>
      <c r="E89" s="1" t="s">
        <v>232</v>
      </c>
      <c r="F89" s="1"/>
      <c r="G89" s="1"/>
      <c r="H89" s="1"/>
      <c r="I89" s="1"/>
      <c r="J89" s="1"/>
      <c r="K89" s="1" t="s">
        <v>233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 t="s">
        <v>228</v>
      </c>
      <c r="AJ89" s="1" t="s">
        <v>234</v>
      </c>
      <c r="AK89" s="1" t="s">
        <v>232</v>
      </c>
      <c r="AL89" s="1" t="s">
        <v>235</v>
      </c>
      <c r="AM89" s="1" t="s">
        <v>235</v>
      </c>
      <c r="AN89" s="1" t="s">
        <v>232</v>
      </c>
      <c r="AO89" s="1" t="s">
        <v>232</v>
      </c>
      <c r="AP89" s="1" t="s">
        <v>232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x14ac:dyDescent="0.25">
      <c r="A90" s="1">
        <v>88</v>
      </c>
      <c r="B90" s="1"/>
      <c r="C90" s="1"/>
      <c r="D90" s="1"/>
      <c r="E90" s="1" t="s">
        <v>236</v>
      </c>
      <c r="F90" s="1"/>
      <c r="G90" s="1"/>
      <c r="H90" s="1"/>
      <c r="I90" s="1"/>
      <c r="J90" s="1"/>
      <c r="K90" s="1" t="s">
        <v>236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 t="s">
        <v>236</v>
      </c>
      <c r="AD90" s="1"/>
      <c r="AE90" s="1"/>
      <c r="AF90" s="1"/>
      <c r="AG90" s="1"/>
      <c r="AH90" s="1"/>
      <c r="AI90" s="1"/>
      <c r="AJ90" s="1"/>
      <c r="AK90" s="1" t="s">
        <v>236</v>
      </c>
      <c r="AL90" s="1"/>
      <c r="AM90" s="1"/>
      <c r="AN90" s="1" t="s">
        <v>236</v>
      </c>
      <c r="AO90" s="1" t="s">
        <v>236</v>
      </c>
      <c r="AP90" s="1" t="s">
        <v>236</v>
      </c>
      <c r="AQ90" s="1"/>
      <c r="AR90" s="1"/>
      <c r="AS90" s="1"/>
      <c r="AT90" s="1"/>
      <c r="AU90" s="1"/>
      <c r="AV90" s="1"/>
      <c r="AW90" s="1"/>
      <c r="AX90" s="1" t="s">
        <v>236</v>
      </c>
      <c r="AY90" s="1"/>
      <c r="AZ90" s="1"/>
      <c r="BA90" s="1" t="s">
        <v>236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x14ac:dyDescent="0.25">
      <c r="A91" s="1">
        <v>89</v>
      </c>
      <c r="B91" s="1"/>
      <c r="C91" s="1"/>
      <c r="D91" s="1"/>
      <c r="E91" s="1" t="s">
        <v>237</v>
      </c>
      <c r="F91" s="1"/>
      <c r="G91" s="1"/>
      <c r="H91" s="1"/>
      <c r="I91" s="1"/>
      <c r="J91" s="1"/>
      <c r="K91" s="1" t="s">
        <v>237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 t="s">
        <v>237</v>
      </c>
      <c r="AD91" s="1"/>
      <c r="AE91" s="1"/>
      <c r="AF91" s="1"/>
      <c r="AG91" s="1"/>
      <c r="AH91" s="1"/>
      <c r="AI91" s="1"/>
      <c r="AJ91" s="1"/>
      <c r="AK91" s="1" t="s">
        <v>237</v>
      </c>
      <c r="AL91" s="1"/>
      <c r="AM91" s="1"/>
      <c r="AN91" s="1" t="s">
        <v>237</v>
      </c>
      <c r="AO91" s="1" t="s">
        <v>237</v>
      </c>
      <c r="AP91" s="1" t="s">
        <v>237</v>
      </c>
      <c r="AQ91" s="1"/>
      <c r="AR91" s="1"/>
      <c r="AS91" s="1"/>
      <c r="AT91" s="1"/>
      <c r="AU91" s="1"/>
      <c r="AV91" s="1"/>
      <c r="AW91" s="1"/>
      <c r="AX91" s="1" t="s">
        <v>237</v>
      </c>
      <c r="AY91" s="1"/>
      <c r="AZ91" s="1"/>
      <c r="BA91" s="1" t="s">
        <v>237</v>
      </c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x14ac:dyDescent="0.25">
      <c r="A92" s="1">
        <v>90</v>
      </c>
      <c r="B92" s="1"/>
      <c r="C92" s="1"/>
      <c r="D92" s="1"/>
      <c r="E92" s="1" t="s">
        <v>238</v>
      </c>
      <c r="F92" s="1"/>
      <c r="G92" s="1"/>
      <c r="H92" s="1"/>
      <c r="I92" s="1"/>
      <c r="J92" s="1"/>
      <c r="K92" s="1" t="s">
        <v>238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 t="s">
        <v>238</v>
      </c>
      <c r="AD92" s="1"/>
      <c r="AE92" s="1"/>
      <c r="AF92" s="1"/>
      <c r="AG92" s="1"/>
      <c r="AH92" s="1"/>
      <c r="AI92" s="1"/>
      <c r="AJ92" s="1"/>
      <c r="AK92" s="1" t="s">
        <v>238</v>
      </c>
      <c r="AL92" s="1"/>
      <c r="AM92" s="1"/>
      <c r="AN92" s="1" t="s">
        <v>238</v>
      </c>
      <c r="AO92" s="1" t="s">
        <v>238</v>
      </c>
      <c r="AP92" s="1" t="s">
        <v>238</v>
      </c>
      <c r="AQ92" s="1"/>
      <c r="AR92" s="1"/>
      <c r="AS92" s="1"/>
      <c r="AT92" s="1"/>
      <c r="AU92" s="1"/>
      <c r="AV92" s="1"/>
      <c r="AW92" s="1"/>
      <c r="AX92" s="1" t="s">
        <v>238</v>
      </c>
      <c r="AY92" s="1"/>
      <c r="AZ92" s="1"/>
      <c r="BA92" s="1" t="s">
        <v>238</v>
      </c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x14ac:dyDescent="0.25">
      <c r="A93" s="1">
        <v>91</v>
      </c>
      <c r="B93" s="1"/>
      <c r="C93" s="1"/>
      <c r="D93" s="1"/>
      <c r="E93" s="1" t="s">
        <v>239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 t="s">
        <v>235</v>
      </c>
      <c r="AK93" s="1" t="s">
        <v>239</v>
      </c>
      <c r="AL93" s="1" t="s">
        <v>240</v>
      </c>
      <c r="AM93" s="1" t="s">
        <v>240</v>
      </c>
      <c r="AN93" s="1" t="s">
        <v>239</v>
      </c>
      <c r="AO93" s="1" t="s">
        <v>239</v>
      </c>
      <c r="AP93" s="1" t="s">
        <v>239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x14ac:dyDescent="0.25">
      <c r="A94" s="1">
        <v>92</v>
      </c>
      <c r="B94" s="1"/>
      <c r="C94" s="1"/>
      <c r="D94" s="1"/>
      <c r="E94" s="1" t="s">
        <v>241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 t="s">
        <v>241</v>
      </c>
      <c r="AD94" s="1"/>
      <c r="AE94" s="1"/>
      <c r="AF94" s="1"/>
      <c r="AG94" s="1"/>
      <c r="AH94" s="1"/>
      <c r="AI94" s="1"/>
      <c r="AJ94" s="1"/>
      <c r="AK94" s="1" t="s">
        <v>241</v>
      </c>
      <c r="AL94" s="1"/>
      <c r="AM94" s="1"/>
      <c r="AN94" s="1" t="s">
        <v>241</v>
      </c>
      <c r="AO94" s="1" t="s">
        <v>241</v>
      </c>
      <c r="AP94" s="1" t="s">
        <v>241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x14ac:dyDescent="0.25">
      <c r="A95" s="1">
        <v>93</v>
      </c>
      <c r="B95" s="1"/>
      <c r="C95" s="1"/>
      <c r="D95" s="1"/>
      <c r="E95" s="1" t="s">
        <v>242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 t="s">
        <v>242</v>
      </c>
      <c r="AD95" s="1"/>
      <c r="AE95" s="1"/>
      <c r="AF95" s="1"/>
      <c r="AG95" s="1"/>
      <c r="AH95" s="1"/>
      <c r="AI95" s="1"/>
      <c r="AJ95" s="1"/>
      <c r="AK95" s="1" t="s">
        <v>242</v>
      </c>
      <c r="AL95" s="1"/>
      <c r="AM95" s="1"/>
      <c r="AN95" s="1" t="s">
        <v>242</v>
      </c>
      <c r="AO95" s="1" t="s">
        <v>242</v>
      </c>
      <c r="AP95" s="1" t="s">
        <v>242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x14ac:dyDescent="0.25">
      <c r="A96" s="1">
        <v>94</v>
      </c>
      <c r="B96" s="1"/>
      <c r="C96" s="1"/>
      <c r="D96" s="1"/>
      <c r="E96" s="1" t="s">
        <v>243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 t="s">
        <v>243</v>
      </c>
      <c r="AD96" s="1"/>
      <c r="AE96" s="1"/>
      <c r="AF96" s="1"/>
      <c r="AG96" s="1"/>
      <c r="AH96" s="1"/>
      <c r="AI96" s="1"/>
      <c r="AJ96" s="1"/>
      <c r="AK96" s="1" t="s">
        <v>243</v>
      </c>
      <c r="AL96" s="1"/>
      <c r="AM96" s="1"/>
      <c r="AN96" s="1" t="s">
        <v>243</v>
      </c>
      <c r="AO96" s="1" t="s">
        <v>243</v>
      </c>
      <c r="AP96" s="1" t="s">
        <v>243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x14ac:dyDescent="0.25">
      <c r="A97" s="1">
        <v>95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 t="s">
        <v>239</v>
      </c>
      <c r="BM97" s="1"/>
      <c r="BN97" s="1"/>
      <c r="BO97" s="1"/>
      <c r="BP97" s="1"/>
      <c r="BQ97" s="1"/>
    </row>
    <row r="98" spans="1:69" x14ac:dyDescent="0.25">
      <c r="A98" s="1">
        <v>96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 t="s">
        <v>244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x14ac:dyDescent="0.25">
      <c r="A99" s="1">
        <v>97</v>
      </c>
      <c r="B99" s="1"/>
      <c r="C99" s="1"/>
      <c r="D99" s="1"/>
      <c r="E99" s="1" t="s">
        <v>245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246</v>
      </c>
      <c r="S99" s="1" t="s">
        <v>247</v>
      </c>
      <c r="T99" s="1" t="s">
        <v>247</v>
      </c>
      <c r="U99" s="1" t="s">
        <v>247</v>
      </c>
      <c r="V99" s="1" t="s">
        <v>247</v>
      </c>
      <c r="W99" s="1" t="s">
        <v>247</v>
      </c>
      <c r="X99" s="1" t="s">
        <v>245</v>
      </c>
      <c r="Y99" s="1" t="s">
        <v>245</v>
      </c>
      <c r="Z99" s="1" t="s">
        <v>245</v>
      </c>
      <c r="AA99" s="1" t="s">
        <v>245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x14ac:dyDescent="0.25">
      <c r="A100" s="1">
        <v>98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 t="s">
        <v>245</v>
      </c>
      <c r="BM100" s="1"/>
      <c r="BN100" s="1"/>
      <c r="BO100" s="1"/>
      <c r="BP100" s="1"/>
      <c r="BQ100" s="1"/>
    </row>
    <row r="101" spans="1:69" x14ac:dyDescent="0.25">
      <c r="A101" s="1">
        <v>99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 t="s">
        <v>248</v>
      </c>
      <c r="BM101" s="1"/>
      <c r="BN101" s="1"/>
      <c r="BO101" s="1"/>
      <c r="BP101" s="1"/>
      <c r="BQ101" s="1"/>
    </row>
    <row r="102" spans="1:69" x14ac:dyDescent="0.25">
      <c r="A102" s="1">
        <v>100</v>
      </c>
      <c r="B102" s="1"/>
      <c r="C102" s="1"/>
      <c r="D102" s="1"/>
      <c r="E102" s="1"/>
      <c r="F102" s="1"/>
      <c r="G102" s="1"/>
      <c r="H102" s="1"/>
      <c r="I102" s="1" t="s">
        <v>249</v>
      </c>
      <c r="J102" s="1"/>
      <c r="K102" s="1" t="s">
        <v>250</v>
      </c>
      <c r="L102" s="1" t="s">
        <v>250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x14ac:dyDescent="0.25">
      <c r="A103" s="1">
        <v>101</v>
      </c>
      <c r="B103" s="1"/>
      <c r="C103" s="1"/>
      <c r="D103" s="1"/>
      <c r="E103" s="1"/>
      <c r="F103" s="1" t="s">
        <v>251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x14ac:dyDescent="0.25">
      <c r="A104" s="1">
        <v>102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 t="s">
        <v>252</v>
      </c>
      <c r="AR104" s="1" t="s">
        <v>253</v>
      </c>
      <c r="AS104" s="1" t="s">
        <v>253</v>
      </c>
      <c r="AT104" s="1" t="s">
        <v>253</v>
      </c>
      <c r="AU104" s="1" t="s">
        <v>253</v>
      </c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x14ac:dyDescent="0.25">
      <c r="A105" s="1">
        <v>103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 t="s">
        <v>254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x14ac:dyDescent="0.25">
      <c r="A106" s="1">
        <v>104</v>
      </c>
      <c r="B106" s="1"/>
      <c r="C106" s="1"/>
      <c r="D106" s="1"/>
      <c r="E106" s="1" t="s">
        <v>255</v>
      </c>
      <c r="F106" s="1"/>
      <c r="G106" s="1"/>
      <c r="H106" s="1"/>
      <c r="I106" s="1"/>
      <c r="J106" s="1"/>
      <c r="K106" s="1" t="s">
        <v>255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256</v>
      </c>
      <c r="AH106" s="1" t="s">
        <v>257</v>
      </c>
      <c r="AI106" s="1" t="s">
        <v>257</v>
      </c>
      <c r="AJ106" s="1" t="s">
        <v>257</v>
      </c>
      <c r="AK106" s="1" t="s">
        <v>255</v>
      </c>
      <c r="AL106" s="1" t="s">
        <v>257</v>
      </c>
      <c r="AM106" s="1" t="s">
        <v>257</v>
      </c>
      <c r="AN106" s="1" t="s">
        <v>255</v>
      </c>
      <c r="AO106" s="1" t="s">
        <v>255</v>
      </c>
      <c r="AP106" s="1" t="s">
        <v>255</v>
      </c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x14ac:dyDescent="0.25">
      <c r="A107" s="1">
        <v>105</v>
      </c>
      <c r="B107" s="1"/>
      <c r="C107" s="1"/>
      <c r="D107" s="1"/>
      <c r="E107" s="1" t="s">
        <v>258</v>
      </c>
      <c r="F107" s="1"/>
      <c r="G107" s="1"/>
      <c r="H107" s="1"/>
      <c r="I107" s="1"/>
      <c r="J107" s="1"/>
      <c r="K107" s="1" t="s">
        <v>258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 t="s">
        <v>259</v>
      </c>
      <c r="AH107" s="1" t="s">
        <v>259</v>
      </c>
      <c r="AI107" s="1" t="s">
        <v>259</v>
      </c>
      <c r="AJ107" s="1" t="s">
        <v>259</v>
      </c>
      <c r="AK107" s="1" t="s">
        <v>258</v>
      </c>
      <c r="AL107" s="1" t="s">
        <v>259</v>
      </c>
      <c r="AM107" s="1" t="s">
        <v>259</v>
      </c>
      <c r="AN107" s="1" t="s">
        <v>258</v>
      </c>
      <c r="AO107" s="1" t="s">
        <v>258</v>
      </c>
      <c r="AP107" s="1" t="s">
        <v>258</v>
      </c>
      <c r="AQ107" s="1"/>
      <c r="AR107" s="1"/>
      <c r="AS107" s="1"/>
      <c r="AT107" s="1"/>
      <c r="AU107" s="1"/>
      <c r="AV107" s="1"/>
      <c r="AW107" s="1" t="s">
        <v>257</v>
      </c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x14ac:dyDescent="0.25">
      <c r="A108" s="1">
        <v>106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 t="s">
        <v>258</v>
      </c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x14ac:dyDescent="0.25">
      <c r="A109" s="1">
        <v>107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 t="s">
        <v>260</v>
      </c>
      <c r="BL109" s="1"/>
      <c r="BM109" s="1"/>
      <c r="BN109" s="1"/>
      <c r="BO109" s="1"/>
      <c r="BP109" s="1"/>
      <c r="BQ109" s="1"/>
    </row>
    <row r="110" spans="1:69" x14ac:dyDescent="0.25">
      <c r="A110" s="1">
        <v>108</v>
      </c>
      <c r="B110" s="1"/>
      <c r="C110" s="1"/>
      <c r="D110" s="1"/>
      <c r="E110" s="1" t="s">
        <v>261</v>
      </c>
      <c r="F110" s="1"/>
      <c r="G110" s="1"/>
      <c r="H110" s="1"/>
      <c r="I110" s="1"/>
      <c r="J110" s="1"/>
      <c r="K110" s="1" t="s">
        <v>261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262</v>
      </c>
      <c r="AH110" s="1" t="s">
        <v>263</v>
      </c>
      <c r="AI110" s="1" t="s">
        <v>263</v>
      </c>
      <c r="AJ110" s="1" t="s">
        <v>263</v>
      </c>
      <c r="AK110" s="1" t="s">
        <v>261</v>
      </c>
      <c r="AL110" s="1" t="s">
        <v>263</v>
      </c>
      <c r="AM110" s="1" t="s">
        <v>263</v>
      </c>
      <c r="AN110" s="1" t="s">
        <v>261</v>
      </c>
      <c r="AO110" s="1" t="s">
        <v>261</v>
      </c>
      <c r="AP110" s="1" t="s">
        <v>261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x14ac:dyDescent="0.25">
      <c r="A111" s="1">
        <v>109</v>
      </c>
      <c r="B111" s="1"/>
      <c r="C111" s="1"/>
      <c r="D111" s="1"/>
      <c r="E111" s="1" t="s">
        <v>261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x14ac:dyDescent="0.25">
      <c r="A112" s="1">
        <v>110</v>
      </c>
      <c r="B112" s="1"/>
      <c r="C112" s="1"/>
      <c r="D112" s="1"/>
      <c r="E112" s="1"/>
      <c r="F112" s="1" t="s">
        <v>226</v>
      </c>
      <c r="G112" s="1"/>
      <c r="H112" s="1"/>
      <c r="I112" s="1"/>
      <c r="J112" s="1"/>
      <c r="K112" s="1" t="s">
        <v>226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 t="s">
        <v>226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x14ac:dyDescent="0.25">
      <c r="A113" s="1">
        <v>111</v>
      </c>
      <c r="B113" s="1"/>
      <c r="C113" s="1"/>
      <c r="D113" s="1"/>
      <c r="E113" s="1" t="s">
        <v>264</v>
      </c>
      <c r="F113" s="1"/>
      <c r="G113" s="1"/>
      <c r="H113" s="1"/>
      <c r="I113" s="1"/>
      <c r="J113" s="1"/>
      <c r="K113" s="1" t="s">
        <v>264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 t="s">
        <v>265</v>
      </c>
      <c r="AI113" s="1" t="s">
        <v>266</v>
      </c>
      <c r="AJ113" s="1" t="s">
        <v>266</v>
      </c>
      <c r="AK113" s="1" t="s">
        <v>264</v>
      </c>
      <c r="AL113" s="1" t="s">
        <v>266</v>
      </c>
      <c r="AM113" s="1" t="s">
        <v>266</v>
      </c>
      <c r="AN113" s="1" t="s">
        <v>264</v>
      </c>
      <c r="AO113" s="1" t="s">
        <v>264</v>
      </c>
      <c r="AP113" s="1" t="s">
        <v>264</v>
      </c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x14ac:dyDescent="0.25">
      <c r="A114" s="1">
        <v>112</v>
      </c>
      <c r="B114" s="1"/>
      <c r="C114" s="1"/>
      <c r="D114" s="1"/>
      <c r="E114" s="1"/>
      <c r="F114" s="1" t="s">
        <v>229</v>
      </c>
      <c r="G114" s="1"/>
      <c r="H114" s="1"/>
      <c r="I114" s="1"/>
      <c r="J114" s="1"/>
      <c r="K114" s="1" t="s">
        <v>229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 t="s">
        <v>229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x14ac:dyDescent="0.25">
      <c r="A115" s="1">
        <v>113</v>
      </c>
      <c r="B115" s="1"/>
      <c r="C115" s="1"/>
      <c r="D115" s="1"/>
      <c r="E115" s="1" t="s">
        <v>230</v>
      </c>
      <c r="F115" s="1" t="s">
        <v>230</v>
      </c>
      <c r="G115" s="1"/>
      <c r="H115" s="1"/>
      <c r="I115" s="1"/>
      <c r="J115" s="1"/>
      <c r="K115" s="1" t="s">
        <v>230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 t="s">
        <v>230</v>
      </c>
      <c r="AD115" s="1" t="s">
        <v>230</v>
      </c>
      <c r="AE115" s="1"/>
      <c r="AF115" s="1"/>
      <c r="AG115" s="1"/>
      <c r="AH115" s="1"/>
      <c r="AI115" s="1"/>
      <c r="AJ115" s="1"/>
      <c r="AK115" s="1" t="s">
        <v>230</v>
      </c>
      <c r="AL115" s="1"/>
      <c r="AM115" s="1"/>
      <c r="AN115" s="1" t="s">
        <v>230</v>
      </c>
      <c r="AO115" s="1" t="s">
        <v>230</v>
      </c>
      <c r="AP115" s="1" t="s">
        <v>230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 t="s">
        <v>230</v>
      </c>
      <c r="BD115" s="1" t="s">
        <v>230</v>
      </c>
      <c r="BE115" s="1" t="s">
        <v>230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x14ac:dyDescent="0.25">
      <c r="A116" s="1">
        <v>114</v>
      </c>
      <c r="B116" s="1"/>
      <c r="C116" s="1"/>
      <c r="D116" s="1"/>
      <c r="E116" s="1" t="s">
        <v>231</v>
      </c>
      <c r="F116" s="1" t="s">
        <v>231</v>
      </c>
      <c r="G116" s="1"/>
      <c r="H116" s="1"/>
      <c r="I116" s="1"/>
      <c r="J116" s="1"/>
      <c r="K116" s="1" t="s">
        <v>231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 t="s">
        <v>231</v>
      </c>
      <c r="AD116" s="1" t="s">
        <v>231</v>
      </c>
      <c r="AE116" s="1"/>
      <c r="AF116" s="1"/>
      <c r="AG116" s="1"/>
      <c r="AH116" s="1"/>
      <c r="AI116" s="1"/>
      <c r="AJ116" s="1"/>
      <c r="AK116" s="1" t="s">
        <v>231</v>
      </c>
      <c r="AL116" s="1"/>
      <c r="AM116" s="1"/>
      <c r="AN116" s="1" t="s">
        <v>231</v>
      </c>
      <c r="AO116" s="1" t="s">
        <v>231</v>
      </c>
      <c r="AP116" s="1" t="s">
        <v>231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 t="s">
        <v>231</v>
      </c>
      <c r="BD116" s="1" t="s">
        <v>231</v>
      </c>
      <c r="BE116" s="1" t="s">
        <v>231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x14ac:dyDescent="0.25">
      <c r="A117" s="1">
        <v>115</v>
      </c>
      <c r="B117" s="1"/>
      <c r="C117" s="1"/>
      <c r="D117" s="1"/>
      <c r="E117" s="1" t="s">
        <v>267</v>
      </c>
      <c r="F117" s="1"/>
      <c r="G117" s="1"/>
      <c r="H117" s="1"/>
      <c r="I117" s="1"/>
      <c r="J117" s="1"/>
      <c r="K117" s="1" t="s">
        <v>268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 t="s">
        <v>266</v>
      </c>
      <c r="AJ117" s="1" t="s">
        <v>269</v>
      </c>
      <c r="AK117" s="1" t="s">
        <v>267</v>
      </c>
      <c r="AL117" s="1" t="s">
        <v>270</v>
      </c>
      <c r="AM117" s="1" t="s">
        <v>270</v>
      </c>
      <c r="AN117" s="1" t="s">
        <v>267</v>
      </c>
      <c r="AO117" s="1" t="s">
        <v>267</v>
      </c>
      <c r="AP117" s="1" t="s">
        <v>267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x14ac:dyDescent="0.25">
      <c r="A118" s="1">
        <v>116</v>
      </c>
      <c r="B118" s="1"/>
      <c r="C118" s="1"/>
      <c r="D118" s="1"/>
      <c r="E118" s="1" t="s">
        <v>236</v>
      </c>
      <c r="F118" s="1" t="s">
        <v>236</v>
      </c>
      <c r="G118" s="1"/>
      <c r="H118" s="1"/>
      <c r="I118" s="1"/>
      <c r="J118" s="1"/>
      <c r="K118" s="1" t="s">
        <v>236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 t="s">
        <v>236</v>
      </c>
      <c r="AD118" s="1" t="s">
        <v>236</v>
      </c>
      <c r="AE118" s="1"/>
      <c r="AF118" s="1"/>
      <c r="AG118" s="1"/>
      <c r="AH118" s="1"/>
      <c r="AI118" s="1"/>
      <c r="AJ118" s="1"/>
      <c r="AK118" s="1" t="s">
        <v>236</v>
      </c>
      <c r="AL118" s="1"/>
      <c r="AM118" s="1"/>
      <c r="AN118" s="1" t="s">
        <v>236</v>
      </c>
      <c r="AO118" s="1" t="s">
        <v>236</v>
      </c>
      <c r="AP118" s="1" t="s">
        <v>236</v>
      </c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 t="s">
        <v>236</v>
      </c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x14ac:dyDescent="0.25">
      <c r="A119" s="1">
        <v>117</v>
      </c>
      <c r="B119" s="1"/>
      <c r="C119" s="1"/>
      <c r="D119" s="1"/>
      <c r="E119" s="1" t="s">
        <v>237</v>
      </c>
      <c r="F119" s="1" t="s">
        <v>237</v>
      </c>
      <c r="G119" s="1"/>
      <c r="H119" s="1"/>
      <c r="I119" s="1"/>
      <c r="J119" s="1"/>
      <c r="K119" s="1" t="s">
        <v>237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 t="s">
        <v>237</v>
      </c>
      <c r="AD119" s="1" t="s">
        <v>237</v>
      </c>
      <c r="AE119" s="1"/>
      <c r="AF119" s="1"/>
      <c r="AG119" s="1"/>
      <c r="AH119" s="1"/>
      <c r="AI119" s="1"/>
      <c r="AJ119" s="1"/>
      <c r="AK119" s="1" t="s">
        <v>237</v>
      </c>
      <c r="AL119" s="1"/>
      <c r="AM119" s="1"/>
      <c r="AN119" s="1" t="s">
        <v>237</v>
      </c>
      <c r="AO119" s="1" t="s">
        <v>237</v>
      </c>
      <c r="AP119" s="1" t="s">
        <v>237</v>
      </c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 t="s">
        <v>237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x14ac:dyDescent="0.25">
      <c r="A120" s="1">
        <v>118</v>
      </c>
      <c r="B120" s="1"/>
      <c r="C120" s="1"/>
      <c r="D120" s="1"/>
      <c r="E120" s="1" t="s">
        <v>238</v>
      </c>
      <c r="F120" s="1" t="s">
        <v>238</v>
      </c>
      <c r="G120" s="1"/>
      <c r="H120" s="1"/>
      <c r="I120" s="1"/>
      <c r="J120" s="1"/>
      <c r="K120" s="1" t="s">
        <v>238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 t="s">
        <v>238</v>
      </c>
      <c r="AD120" s="1" t="s">
        <v>238</v>
      </c>
      <c r="AE120" s="1"/>
      <c r="AF120" s="1"/>
      <c r="AG120" s="1"/>
      <c r="AH120" s="1"/>
      <c r="AI120" s="1"/>
      <c r="AJ120" s="1"/>
      <c r="AK120" s="1" t="s">
        <v>238</v>
      </c>
      <c r="AL120" s="1"/>
      <c r="AM120" s="1"/>
      <c r="AN120" s="1" t="s">
        <v>238</v>
      </c>
      <c r="AO120" s="1" t="s">
        <v>238</v>
      </c>
      <c r="AP120" s="1" t="s">
        <v>238</v>
      </c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 t="s">
        <v>238</v>
      </c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x14ac:dyDescent="0.25">
      <c r="A121" s="1">
        <v>119</v>
      </c>
      <c r="B121" s="1"/>
      <c r="C121" s="1"/>
      <c r="D121" s="1"/>
      <c r="E121" s="1"/>
      <c r="F121" s="1" t="s">
        <v>271</v>
      </c>
      <c r="G121" s="1"/>
      <c r="H121" s="1"/>
      <c r="I121" s="1"/>
      <c r="J121" s="1"/>
      <c r="K121" s="1" t="s">
        <v>271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 t="s">
        <v>271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x14ac:dyDescent="0.25">
      <c r="A122" s="1">
        <v>120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 t="s">
        <v>272</v>
      </c>
      <c r="BM122" s="1"/>
      <c r="BN122" s="1"/>
      <c r="BO122" s="1"/>
      <c r="BP122" s="1"/>
      <c r="BQ122" s="1"/>
    </row>
    <row r="123" spans="1:69" x14ac:dyDescent="0.25">
      <c r="A123" s="1">
        <v>121</v>
      </c>
      <c r="B123" s="1"/>
      <c r="C123" s="1"/>
      <c r="D123" s="1"/>
      <c r="E123" s="1" t="s">
        <v>273</v>
      </c>
      <c r="F123" s="1"/>
      <c r="G123" s="1"/>
      <c r="H123" s="1"/>
      <c r="I123" s="1"/>
      <c r="J123" s="1"/>
      <c r="K123" s="1" t="s">
        <v>273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 t="s">
        <v>270</v>
      </c>
      <c r="AH123" s="1" t="s">
        <v>274</v>
      </c>
      <c r="AI123" s="1" t="s">
        <v>274</v>
      </c>
      <c r="AJ123" s="1" t="s">
        <v>274</v>
      </c>
      <c r="AK123" s="1" t="s">
        <v>273</v>
      </c>
      <c r="AL123" s="1" t="s">
        <v>274</v>
      </c>
      <c r="AM123" s="1" t="s">
        <v>274</v>
      </c>
      <c r="AN123" s="1" t="s">
        <v>273</v>
      </c>
      <c r="AO123" s="1" t="s">
        <v>273</v>
      </c>
      <c r="AP123" s="1" t="s">
        <v>273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x14ac:dyDescent="0.25">
      <c r="A124" s="1">
        <v>122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 t="s">
        <v>275</v>
      </c>
      <c r="BM124" s="1"/>
      <c r="BN124" s="1"/>
      <c r="BO124" s="1"/>
      <c r="BP124" s="1"/>
      <c r="BQ124" s="1"/>
    </row>
    <row r="125" spans="1:69" x14ac:dyDescent="0.25">
      <c r="A125" s="1">
        <v>123</v>
      </c>
      <c r="B125" s="1"/>
      <c r="C125" s="1"/>
      <c r="D125" s="1"/>
      <c r="E125" s="1"/>
      <c r="F125" s="1"/>
      <c r="G125" s="1"/>
      <c r="H125" s="1"/>
      <c r="I125" s="1"/>
      <c r="J125" s="1"/>
      <c r="K125" s="1" t="s">
        <v>276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 t="s">
        <v>274</v>
      </c>
      <c r="BP125" s="1" t="s">
        <v>277</v>
      </c>
      <c r="BQ125" s="1"/>
    </row>
    <row r="126" spans="1:69" x14ac:dyDescent="0.25">
      <c r="A126" s="1">
        <v>124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 t="s">
        <v>278</v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x14ac:dyDescent="0.25">
      <c r="A127" s="1">
        <v>125</v>
      </c>
      <c r="B127" s="1"/>
      <c r="C127" s="1"/>
      <c r="D127" s="1"/>
      <c r="E127" s="1"/>
      <c r="F127" s="1"/>
      <c r="G127" s="1"/>
      <c r="H127" s="1"/>
      <c r="I127" s="1"/>
      <c r="J127" s="1"/>
      <c r="K127" s="1" t="s">
        <v>279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 t="s">
        <v>279</v>
      </c>
      <c r="AY127" s="1"/>
      <c r="AZ127" s="1"/>
      <c r="BA127" s="1" t="s">
        <v>279</v>
      </c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x14ac:dyDescent="0.25">
      <c r="A128" s="1">
        <v>126</v>
      </c>
      <c r="B128" s="1"/>
      <c r="C128" s="1"/>
      <c r="D128" s="1"/>
      <c r="E128" s="1"/>
      <c r="F128" s="1"/>
      <c r="G128" s="1"/>
      <c r="H128" s="1"/>
      <c r="I128" s="1"/>
      <c r="J128" s="1"/>
      <c r="K128" s="1" t="s">
        <v>176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 t="s">
        <v>176</v>
      </c>
      <c r="AY128" s="1"/>
      <c r="AZ128" s="1"/>
      <c r="BA128" s="1" t="s">
        <v>176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x14ac:dyDescent="0.25">
      <c r="A129" s="1">
        <v>127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 t="s">
        <v>280</v>
      </c>
      <c r="BD129" s="1" t="s">
        <v>280</v>
      </c>
      <c r="BE129" s="1" t="s">
        <v>280</v>
      </c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x14ac:dyDescent="0.25">
      <c r="A130" s="1">
        <v>128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 t="s">
        <v>281</v>
      </c>
      <c r="BH130" s="1" t="s">
        <v>281</v>
      </c>
      <c r="BI130" s="1" t="s">
        <v>281</v>
      </c>
      <c r="BJ130" s="1"/>
      <c r="BK130" s="1"/>
      <c r="BL130" s="1"/>
      <c r="BM130" s="1"/>
      <c r="BN130" s="1"/>
      <c r="BO130" s="1"/>
      <c r="BP130" s="1"/>
      <c r="BQ130" s="1"/>
    </row>
    <row r="131" spans="1:69" x14ac:dyDescent="0.25">
      <c r="A131" s="1">
        <v>129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 t="s">
        <v>282</v>
      </c>
      <c r="BH131" s="1" t="s">
        <v>282</v>
      </c>
      <c r="BI131" s="1" t="s">
        <v>282</v>
      </c>
      <c r="BJ131" s="1"/>
      <c r="BK131" s="1"/>
      <c r="BL131" s="1"/>
      <c r="BM131" s="1"/>
      <c r="BN131" s="1"/>
      <c r="BO131" s="1"/>
      <c r="BP131" s="1"/>
      <c r="BQ131" s="1"/>
    </row>
    <row r="132" spans="1:69" x14ac:dyDescent="0.25">
      <c r="A132" s="1">
        <v>130</v>
      </c>
      <c r="B132" s="1"/>
      <c r="C132" s="1"/>
      <c r="D132" s="1"/>
      <c r="E132" s="1"/>
      <c r="F132" s="1" t="s">
        <v>283</v>
      </c>
      <c r="G132" s="1"/>
      <c r="H132" s="1"/>
      <c r="I132" s="1"/>
      <c r="J132" s="1"/>
      <c r="K132" s="1" t="s">
        <v>283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 t="s">
        <v>283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x14ac:dyDescent="0.25">
      <c r="A133" s="1">
        <v>131</v>
      </c>
      <c r="B133" s="1"/>
      <c r="C133" s="1"/>
      <c r="D133" s="1"/>
      <c r="E133" s="1"/>
      <c r="F133" s="1" t="s">
        <v>284</v>
      </c>
      <c r="G133" s="1"/>
      <c r="H133" s="1"/>
      <c r="I133" s="1"/>
      <c r="J133" s="1"/>
      <c r="K133" s="1" t="s">
        <v>284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 t="s">
        <v>284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x14ac:dyDescent="0.25">
      <c r="A134" s="1">
        <v>132</v>
      </c>
      <c r="B134" s="1"/>
      <c r="C134" s="1"/>
      <c r="D134" s="1"/>
      <c r="E134" s="1"/>
      <c r="F134" s="1" t="s">
        <v>285</v>
      </c>
      <c r="G134" s="1"/>
      <c r="H134" s="1"/>
      <c r="I134" s="1"/>
      <c r="J134" s="1"/>
      <c r="K134" s="1" t="s">
        <v>285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 t="s">
        <v>285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x14ac:dyDescent="0.25">
      <c r="A135" s="1">
        <v>133</v>
      </c>
      <c r="B135" s="1"/>
      <c r="C135" s="1"/>
      <c r="D135" s="1"/>
      <c r="E135" s="1"/>
      <c r="F135" s="1"/>
      <c r="G135" s="1"/>
      <c r="H135" s="1"/>
      <c r="I135" s="1"/>
      <c r="J135" s="1"/>
      <c r="K135" s="1" t="s">
        <v>286</v>
      </c>
      <c r="L135" s="1" t="s">
        <v>286</v>
      </c>
      <c r="M135" s="1" t="s">
        <v>286</v>
      </c>
      <c r="N135" s="1"/>
      <c r="O135" s="1"/>
      <c r="P135" s="1" t="s">
        <v>286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25">
      <c r="A136" s="1">
        <v>134</v>
      </c>
      <c r="B136" s="1"/>
      <c r="C136" s="1"/>
      <c r="D136" s="1"/>
      <c r="E136" s="1"/>
      <c r="F136" s="1"/>
      <c r="G136" s="1"/>
      <c r="H136" s="1"/>
      <c r="I136" s="1"/>
      <c r="J136" s="1"/>
      <c r="K136" s="1" t="s">
        <v>89</v>
      </c>
      <c r="L136" s="1" t="s">
        <v>89</v>
      </c>
      <c r="M136" s="1" t="s">
        <v>89</v>
      </c>
      <c r="N136" s="1"/>
      <c r="O136" s="1"/>
      <c r="P136" s="1" t="s">
        <v>89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x14ac:dyDescent="0.25">
      <c r="A137" s="1">
        <v>135</v>
      </c>
      <c r="B137" s="1"/>
      <c r="C137" s="1"/>
      <c r="D137" s="1"/>
      <c r="E137" s="1"/>
      <c r="F137" s="1"/>
      <c r="G137" s="1" t="s">
        <v>287</v>
      </c>
      <c r="H137" s="1" t="s">
        <v>288</v>
      </c>
      <c r="I137" s="1" t="s">
        <v>288</v>
      </c>
      <c r="J137" s="1" t="s">
        <v>288</v>
      </c>
      <c r="K137" s="1" t="s">
        <v>289</v>
      </c>
      <c r="L137" s="1" t="s">
        <v>289</v>
      </c>
      <c r="M137" s="1" t="s">
        <v>289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x14ac:dyDescent="0.25">
      <c r="A138" s="1">
        <v>136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 t="s">
        <v>290</v>
      </c>
      <c r="BO138" s="1"/>
      <c r="BP138" s="1"/>
      <c r="BQ138" s="1" t="s">
        <v>288</v>
      </c>
    </row>
    <row r="139" spans="1:69" x14ac:dyDescent="0.25">
      <c r="A139" s="1">
        <v>137</v>
      </c>
      <c r="B139" s="1"/>
      <c r="C139" s="1"/>
      <c r="D139" s="1"/>
      <c r="E139" s="1"/>
      <c r="F139" s="1" t="s">
        <v>209</v>
      </c>
      <c r="G139" s="1"/>
      <c r="H139" s="1"/>
      <c r="I139" s="1"/>
      <c r="J139" s="1"/>
      <c r="K139" s="1" t="s">
        <v>209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 t="s">
        <v>209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x14ac:dyDescent="0.25">
      <c r="A140" s="1">
        <v>138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 t="s">
        <v>291</v>
      </c>
      <c r="BM140" s="1"/>
      <c r="BN140" s="1"/>
      <c r="BO140" s="1"/>
      <c r="BP140" s="1"/>
      <c r="BQ140" s="1"/>
    </row>
    <row r="141" spans="1:69" x14ac:dyDescent="0.25">
      <c r="A141" s="1">
        <v>139</v>
      </c>
      <c r="B141" s="1"/>
      <c r="C141" s="1"/>
      <c r="D141" s="1"/>
      <c r="E141" s="1" t="s">
        <v>292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 t="s">
        <v>293</v>
      </c>
      <c r="S141" s="1" t="s">
        <v>294</v>
      </c>
      <c r="T141" s="1" t="s">
        <v>294</v>
      </c>
      <c r="U141" s="1" t="s">
        <v>294</v>
      </c>
      <c r="V141" s="1" t="s">
        <v>294</v>
      </c>
      <c r="W141" s="1" t="s">
        <v>294</v>
      </c>
      <c r="X141" s="1" t="s">
        <v>292</v>
      </c>
      <c r="Y141" s="1" t="s">
        <v>292</v>
      </c>
      <c r="Z141" s="1" t="s">
        <v>292</v>
      </c>
      <c r="AA141" s="1" t="s">
        <v>292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x14ac:dyDescent="0.25">
      <c r="A142" s="1">
        <v>140</v>
      </c>
      <c r="B142" s="1"/>
      <c r="C142" s="1"/>
      <c r="D142" s="1"/>
      <c r="E142" s="1" t="s">
        <v>295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294</v>
      </c>
      <c r="S142" s="1" t="s">
        <v>296</v>
      </c>
      <c r="T142" s="1" t="s">
        <v>296</v>
      </c>
      <c r="U142" s="1" t="s">
        <v>296</v>
      </c>
      <c r="V142" s="1" t="s">
        <v>296</v>
      </c>
      <c r="W142" s="1" t="s">
        <v>296</v>
      </c>
      <c r="X142" s="1" t="s">
        <v>295</v>
      </c>
      <c r="Y142" s="1" t="s">
        <v>295</v>
      </c>
      <c r="Z142" s="1" t="s">
        <v>295</v>
      </c>
      <c r="AA142" s="1" t="s">
        <v>295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x14ac:dyDescent="0.25">
      <c r="A143" s="1">
        <v>141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 t="s">
        <v>295</v>
      </c>
      <c r="BM143" s="1"/>
      <c r="BN143" s="1"/>
      <c r="BO143" s="1"/>
      <c r="BP143" s="1"/>
      <c r="BQ143" s="1"/>
    </row>
    <row r="144" spans="1:69" x14ac:dyDescent="0.25">
      <c r="A144" s="1">
        <v>142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 t="s">
        <v>297</v>
      </c>
      <c r="BM144" s="1"/>
      <c r="BN144" s="1"/>
      <c r="BO144" s="1"/>
      <c r="BP144" s="1"/>
      <c r="BQ144" s="1"/>
    </row>
    <row r="145" spans="1:69" x14ac:dyDescent="0.25">
      <c r="A145" s="1">
        <v>143</v>
      </c>
      <c r="B145" s="1"/>
      <c r="C145" s="1"/>
      <c r="D145" s="1"/>
      <c r="E145" s="1"/>
      <c r="F145" s="1" t="s">
        <v>278</v>
      </c>
      <c r="G145" s="1"/>
      <c r="H145" s="1"/>
      <c r="I145" s="1"/>
      <c r="J145" s="1"/>
      <c r="K145" s="1" t="s">
        <v>278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 t="s">
        <v>278</v>
      </c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x14ac:dyDescent="0.25">
      <c r="A146" s="1">
        <v>144</v>
      </c>
      <c r="B146" s="1"/>
      <c r="C146" s="1"/>
      <c r="D146" s="1"/>
      <c r="E146" s="1"/>
      <c r="F146" s="1" t="s">
        <v>279</v>
      </c>
      <c r="G146" s="1"/>
      <c r="H146" s="1"/>
      <c r="I146" s="1"/>
      <c r="J146" s="1"/>
      <c r="K146" s="1" t="s">
        <v>279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 t="s">
        <v>279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 t="s">
        <v>279</v>
      </c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x14ac:dyDescent="0.25">
      <c r="A147" s="1">
        <v>145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 t="s">
        <v>298</v>
      </c>
      <c r="BG147" s="1" t="s">
        <v>299</v>
      </c>
      <c r="BH147" s="1" t="s">
        <v>299</v>
      </c>
      <c r="BI147" s="1" t="s">
        <v>299</v>
      </c>
      <c r="BJ147" s="1"/>
      <c r="BK147" s="1"/>
      <c r="BL147" s="1"/>
      <c r="BM147" s="1"/>
      <c r="BN147" s="1"/>
      <c r="BO147" s="1"/>
      <c r="BP147" s="1"/>
      <c r="BQ147" s="1"/>
    </row>
    <row r="148" spans="1:69" x14ac:dyDescent="0.25">
      <c r="A148" s="1">
        <v>146</v>
      </c>
      <c r="B148" s="1"/>
      <c r="C148" s="1"/>
      <c r="D148" s="1"/>
      <c r="E148" s="1"/>
      <c r="F148" s="1" t="s">
        <v>176</v>
      </c>
      <c r="G148" s="1"/>
      <c r="H148" s="1"/>
      <c r="I148" s="1"/>
      <c r="J148" s="1"/>
      <c r="K148" s="1" t="s">
        <v>176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 t="s">
        <v>176</v>
      </c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 t="s">
        <v>176</v>
      </c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x14ac:dyDescent="0.25">
      <c r="A149" s="1">
        <v>147</v>
      </c>
      <c r="B149" s="1"/>
      <c r="C149" s="1"/>
      <c r="D149" s="1"/>
      <c r="E149" s="1"/>
      <c r="F149" s="1"/>
      <c r="G149" s="1"/>
      <c r="H149" s="1"/>
      <c r="I149" s="1"/>
      <c r="J149" s="1"/>
      <c r="K149" s="1" t="s">
        <v>300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 t="s">
        <v>301</v>
      </c>
      <c r="BN149" s="1" t="s">
        <v>300</v>
      </c>
      <c r="BO149" s="1"/>
      <c r="BP149" s="1"/>
      <c r="BQ149" s="1"/>
    </row>
    <row r="150" spans="1:69" x14ac:dyDescent="0.25">
      <c r="A150" s="1">
        <v>148</v>
      </c>
      <c r="B150" s="1"/>
      <c r="C150" s="1"/>
      <c r="D150" s="1"/>
      <c r="E150" s="1"/>
      <c r="F150" s="1" t="s">
        <v>302</v>
      </c>
      <c r="G150" s="1"/>
      <c r="H150" s="1"/>
      <c r="I150" s="1"/>
      <c r="J150" s="1"/>
      <c r="K150" s="1" t="s">
        <v>302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 t="s">
        <v>302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x14ac:dyDescent="0.25">
      <c r="A151" s="1">
        <v>149</v>
      </c>
      <c r="B151" s="1"/>
      <c r="C151" s="1"/>
      <c r="D151" s="1"/>
      <c r="E151" s="1" t="s">
        <v>303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 t="s">
        <v>304</v>
      </c>
      <c r="S151" s="1" t="s">
        <v>305</v>
      </c>
      <c r="T151" s="1" t="s">
        <v>305</v>
      </c>
      <c r="U151" s="1" t="s">
        <v>305</v>
      </c>
      <c r="V151" s="1" t="s">
        <v>305</v>
      </c>
      <c r="W151" s="1" t="s">
        <v>305</v>
      </c>
      <c r="X151" s="1" t="s">
        <v>303</v>
      </c>
      <c r="Y151" s="1" t="s">
        <v>303</v>
      </c>
      <c r="Z151" s="1" t="s">
        <v>303</v>
      </c>
      <c r="AA151" s="1" t="s">
        <v>303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x14ac:dyDescent="0.25">
      <c r="A152" s="1">
        <v>150</v>
      </c>
      <c r="B152" s="1"/>
      <c r="C152" s="1"/>
      <c r="D152" s="1"/>
      <c r="E152" s="1"/>
      <c r="F152" s="1" t="s">
        <v>306</v>
      </c>
      <c r="G152" s="1"/>
      <c r="H152" s="1"/>
      <c r="I152" s="1"/>
      <c r="J152" s="1"/>
      <c r="K152" s="1" t="s">
        <v>306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 t="s">
        <v>306</v>
      </c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x14ac:dyDescent="0.25">
      <c r="A153" s="1">
        <v>151</v>
      </c>
      <c r="B153" s="1"/>
      <c r="C153" s="1"/>
      <c r="D153" s="1"/>
      <c r="E153" s="1"/>
      <c r="F153" s="1" t="s">
        <v>303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x14ac:dyDescent="0.25">
      <c r="A154" s="1">
        <v>152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 t="s">
        <v>307</v>
      </c>
      <c r="BM154" s="1"/>
      <c r="BN154" s="1"/>
      <c r="BO154" s="1"/>
      <c r="BP154" s="1"/>
      <c r="BQ154" s="1"/>
    </row>
    <row r="155" spans="1:69" x14ac:dyDescent="0.25">
      <c r="A155" s="1">
        <v>153</v>
      </c>
      <c r="B155" s="1"/>
      <c r="C155" s="1"/>
      <c r="D155" s="1"/>
      <c r="E155" s="1" t="s">
        <v>308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x14ac:dyDescent="0.25">
      <c r="A156" s="1">
        <v>154</v>
      </c>
      <c r="B156" s="1"/>
      <c r="C156" s="1"/>
      <c r="D156" s="1"/>
      <c r="E156" s="1"/>
      <c r="F156" s="1" t="s">
        <v>271</v>
      </c>
      <c r="G156" s="1"/>
      <c r="H156" s="1"/>
      <c r="I156" s="1"/>
      <c r="J156" s="1"/>
      <c r="K156" s="1" t="s">
        <v>271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 t="s">
        <v>271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x14ac:dyDescent="0.25">
      <c r="A157" s="1">
        <v>155</v>
      </c>
      <c r="B157" s="1"/>
      <c r="C157" s="1"/>
      <c r="D157" s="1"/>
      <c r="E157" s="1"/>
      <c r="F157" s="1"/>
      <c r="G157" s="1"/>
      <c r="H157" s="1"/>
      <c r="I157" s="1"/>
      <c r="J157" s="1"/>
      <c r="K157" s="1" t="s">
        <v>309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 t="s">
        <v>310</v>
      </c>
      <c r="BP157" s="1" t="s">
        <v>311</v>
      </c>
      <c r="BQ157" s="1"/>
    </row>
    <row r="158" spans="1:69" x14ac:dyDescent="0.25">
      <c r="A158" s="1">
        <v>156</v>
      </c>
      <c r="B158" s="1"/>
      <c r="C158" s="1"/>
      <c r="D158" s="1"/>
      <c r="E158" s="1"/>
      <c r="F158" s="1" t="s">
        <v>283</v>
      </c>
      <c r="G158" s="1"/>
      <c r="H158" s="1"/>
      <c r="I158" s="1"/>
      <c r="J158" s="1"/>
      <c r="K158" s="1" t="s">
        <v>283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 t="s">
        <v>283</v>
      </c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x14ac:dyDescent="0.25">
      <c r="A159" s="1">
        <v>157</v>
      </c>
      <c r="B159" s="1"/>
      <c r="C159" s="1"/>
      <c r="D159" s="1"/>
      <c r="E159" s="1"/>
      <c r="F159" s="1" t="s">
        <v>284</v>
      </c>
      <c r="G159" s="1"/>
      <c r="H159" s="1"/>
      <c r="I159" s="1"/>
      <c r="J159" s="1"/>
      <c r="K159" s="1" t="s">
        <v>284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 t="s">
        <v>284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x14ac:dyDescent="0.25">
      <c r="A160" s="1">
        <v>158</v>
      </c>
      <c r="B160" s="1"/>
      <c r="C160" s="1"/>
      <c r="D160" s="1"/>
      <c r="E160" s="1"/>
      <c r="F160" s="1" t="s">
        <v>285</v>
      </c>
      <c r="G160" s="1"/>
      <c r="H160" s="1"/>
      <c r="I160" s="1"/>
      <c r="J160" s="1"/>
      <c r="K160" s="1" t="s">
        <v>285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 t="s">
        <v>285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x14ac:dyDescent="0.25">
      <c r="A161" s="1">
        <v>159</v>
      </c>
      <c r="B161" s="1"/>
      <c r="C161" s="1"/>
      <c r="D161" s="1"/>
      <c r="E161" s="1" t="s">
        <v>312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 t="s">
        <v>313</v>
      </c>
      <c r="AK161" s="1" t="s">
        <v>314</v>
      </c>
      <c r="AL161" s="1" t="s">
        <v>315</v>
      </c>
      <c r="AM161" s="1" t="s">
        <v>316</v>
      </c>
      <c r="AN161" s="1" t="s">
        <v>317</v>
      </c>
      <c r="AO161" s="1" t="s">
        <v>318</v>
      </c>
      <c r="AP161" s="1" t="s">
        <v>319</v>
      </c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x14ac:dyDescent="0.25">
      <c r="A162" s="1">
        <v>160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 t="s">
        <v>320</v>
      </c>
      <c r="BM162" s="1"/>
      <c r="BN162" s="1"/>
      <c r="BO162" s="1"/>
      <c r="BP162" s="1"/>
      <c r="BQ162" s="1"/>
    </row>
    <row r="163" spans="1:69" x14ac:dyDescent="0.25">
      <c r="A163" s="1">
        <v>161</v>
      </c>
      <c r="B163" s="1"/>
      <c r="C163" s="1"/>
      <c r="D163" s="1"/>
      <c r="E163" s="1"/>
      <c r="F163" s="1" t="s">
        <v>321</v>
      </c>
      <c r="G163" s="1"/>
      <c r="H163" s="1"/>
      <c r="I163" s="1"/>
      <c r="J163" s="1"/>
      <c r="K163" s="1" t="s">
        <v>321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 t="s">
        <v>321</v>
      </c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x14ac:dyDescent="0.25">
      <c r="A164" s="1">
        <v>162</v>
      </c>
      <c r="B164" s="1"/>
      <c r="C164" s="1"/>
      <c r="D164" s="1"/>
      <c r="E164" s="1"/>
      <c r="F164" s="1"/>
      <c r="G164" s="1"/>
      <c r="H164" s="1"/>
      <c r="I164" s="1"/>
      <c r="J164" s="1"/>
      <c r="K164" s="1" t="s">
        <v>322</v>
      </c>
      <c r="L164" s="1" t="s">
        <v>322</v>
      </c>
      <c r="M164" s="1" t="s">
        <v>322</v>
      </c>
      <c r="N164" s="1"/>
      <c r="O164" s="1"/>
      <c r="P164" s="1" t="s">
        <v>322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x14ac:dyDescent="0.25">
      <c r="A165" s="1">
        <v>163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 t="s">
        <v>323</v>
      </c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x14ac:dyDescent="0.25">
      <c r="A166" s="1">
        <v>164</v>
      </c>
      <c r="B166" s="1"/>
      <c r="C166" s="1"/>
      <c r="D166" s="1"/>
      <c r="E166" s="1"/>
      <c r="F166" s="1" t="s">
        <v>302</v>
      </c>
      <c r="G166" s="1"/>
      <c r="H166" s="1"/>
      <c r="I166" s="1"/>
      <c r="J166" s="1"/>
      <c r="K166" s="1" t="s">
        <v>302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 t="s">
        <v>302</v>
      </c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x14ac:dyDescent="0.25">
      <c r="A167" s="1">
        <v>165</v>
      </c>
      <c r="B167" s="1"/>
      <c r="C167" s="1"/>
      <c r="D167" s="1"/>
      <c r="E167" s="1" t="s">
        <v>324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325</v>
      </c>
      <c r="S167" s="1" t="s">
        <v>326</v>
      </c>
      <c r="T167" s="1" t="s">
        <v>326</v>
      </c>
      <c r="U167" s="1" t="s">
        <v>326</v>
      </c>
      <c r="V167" s="1" t="s">
        <v>326</v>
      </c>
      <c r="W167" s="1" t="s">
        <v>326</v>
      </c>
      <c r="X167" s="1" t="s">
        <v>324</v>
      </c>
      <c r="Y167" s="1" t="s">
        <v>324</v>
      </c>
      <c r="Z167" s="1" t="s">
        <v>324</v>
      </c>
      <c r="AA167" s="1" t="s">
        <v>324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x14ac:dyDescent="0.25">
      <c r="A168" s="1">
        <v>166</v>
      </c>
      <c r="B168" s="1"/>
      <c r="C168" s="1"/>
      <c r="D168" s="1"/>
      <c r="E168" s="1"/>
      <c r="F168" s="1" t="s">
        <v>306</v>
      </c>
      <c r="G168" s="1"/>
      <c r="H168" s="1"/>
      <c r="I168" s="1"/>
      <c r="J168" s="1"/>
      <c r="K168" s="1" t="s">
        <v>306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 t="s">
        <v>306</v>
      </c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x14ac:dyDescent="0.25">
      <c r="A169" s="1">
        <v>167</v>
      </c>
      <c r="B169" s="1"/>
      <c r="C169" s="1"/>
      <c r="D169" s="1"/>
      <c r="E169" s="1"/>
      <c r="F169" s="1" t="s">
        <v>280</v>
      </c>
      <c r="G169" s="1"/>
      <c r="H169" s="1"/>
      <c r="I169" s="1"/>
      <c r="J169" s="1"/>
      <c r="K169" s="1" t="s">
        <v>280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 t="s">
        <v>280</v>
      </c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 t="s">
        <v>280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x14ac:dyDescent="0.25">
      <c r="A170" s="1">
        <v>168</v>
      </c>
      <c r="B170" s="1"/>
      <c r="C170" s="1"/>
      <c r="D170" s="1"/>
      <c r="E170" s="1" t="s">
        <v>327</v>
      </c>
      <c r="F170" s="1"/>
      <c r="G170" s="1"/>
      <c r="H170" s="1"/>
      <c r="I170" s="1"/>
      <c r="J170" s="1"/>
      <c r="K170" s="1" t="s">
        <v>327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326</v>
      </c>
      <c r="AH170" s="1" t="s">
        <v>328</v>
      </c>
      <c r="AI170" s="1" t="s">
        <v>328</v>
      </c>
      <c r="AJ170" s="1" t="s">
        <v>328</v>
      </c>
      <c r="AK170" s="1" t="s">
        <v>327</v>
      </c>
      <c r="AL170" s="1" t="s">
        <v>328</v>
      </c>
      <c r="AM170" s="1" t="s">
        <v>328</v>
      </c>
      <c r="AN170" s="1" t="s">
        <v>327</v>
      </c>
      <c r="AO170" s="1" t="s">
        <v>327</v>
      </c>
      <c r="AP170" s="1" t="s">
        <v>327</v>
      </c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x14ac:dyDescent="0.25">
      <c r="A171" s="1">
        <v>169</v>
      </c>
      <c r="B171" s="1"/>
      <c r="C171" s="1"/>
      <c r="D171" s="1"/>
      <c r="E171" s="1"/>
      <c r="F171" s="1" t="s">
        <v>184</v>
      </c>
      <c r="G171" s="1"/>
      <c r="H171" s="1"/>
      <c r="I171" s="1"/>
      <c r="J171" s="1"/>
      <c r="K171" s="1" t="s">
        <v>184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 t="s">
        <v>184</v>
      </c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 t="s">
        <v>184</v>
      </c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x14ac:dyDescent="0.25">
      <c r="A172" s="1">
        <v>170</v>
      </c>
      <c r="B172" s="1"/>
      <c r="C172" s="1"/>
      <c r="D172" s="1"/>
      <c r="E172" s="1"/>
      <c r="F172" s="1" t="s">
        <v>185</v>
      </c>
      <c r="G172" s="1"/>
      <c r="H172" s="1"/>
      <c r="I172" s="1"/>
      <c r="J172" s="1"/>
      <c r="K172" s="1" t="s">
        <v>185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 t="s">
        <v>185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 t="s">
        <v>185</v>
      </c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x14ac:dyDescent="0.25">
      <c r="A173" s="1">
        <v>171</v>
      </c>
      <c r="B173" s="1"/>
      <c r="C173" s="1"/>
      <c r="D173" s="1"/>
      <c r="E173" s="1"/>
      <c r="F173" s="1" t="s">
        <v>186</v>
      </c>
      <c r="G173" s="1"/>
      <c r="H173" s="1"/>
      <c r="I173" s="1"/>
      <c r="J173" s="1"/>
      <c r="K173" s="1" t="s">
        <v>186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 t="s">
        <v>186</v>
      </c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 t="s">
        <v>186</v>
      </c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x14ac:dyDescent="0.25">
      <c r="A174" s="1">
        <v>172</v>
      </c>
      <c r="B174" s="1"/>
      <c r="C174" s="1"/>
      <c r="D174" s="1"/>
      <c r="E174" s="1"/>
      <c r="F174" s="1" t="s">
        <v>187</v>
      </c>
      <c r="G174" s="1"/>
      <c r="H174" s="1"/>
      <c r="I174" s="1"/>
      <c r="J174" s="1"/>
      <c r="K174" s="1" t="s">
        <v>187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 t="s">
        <v>187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 t="s">
        <v>187</v>
      </c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x14ac:dyDescent="0.25">
      <c r="A175" s="1">
        <v>173</v>
      </c>
      <c r="B175" s="1"/>
      <c r="C175" s="1"/>
      <c r="D175" s="1"/>
      <c r="E175" s="1"/>
      <c r="F175" s="1" t="s">
        <v>188</v>
      </c>
      <c r="G175" s="1"/>
      <c r="H175" s="1"/>
      <c r="I175" s="1"/>
      <c r="J175" s="1"/>
      <c r="K175" s="1" t="s">
        <v>188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 t="s">
        <v>188</v>
      </c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 t="s">
        <v>188</v>
      </c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x14ac:dyDescent="0.25">
      <c r="A176" s="1">
        <v>174</v>
      </c>
      <c r="B176" s="1"/>
      <c r="C176" s="1"/>
      <c r="D176" s="1"/>
      <c r="E176" s="1"/>
      <c r="F176" s="1" t="s">
        <v>189</v>
      </c>
      <c r="G176" s="1"/>
      <c r="H176" s="1"/>
      <c r="I176" s="1"/>
      <c r="J176" s="1"/>
      <c r="K176" s="1" t="s">
        <v>189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 t="s">
        <v>189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 t="s">
        <v>189</v>
      </c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x14ac:dyDescent="0.25">
      <c r="A177" s="1">
        <v>175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 t="s">
        <v>327</v>
      </c>
      <c r="BK177" s="1"/>
      <c r="BL177" s="1"/>
      <c r="BM177" s="1"/>
      <c r="BN177" s="1"/>
      <c r="BO177" s="1"/>
      <c r="BP177" s="1"/>
      <c r="BQ177" s="1"/>
    </row>
    <row r="178" spans="1:69" x14ac:dyDescent="0.25">
      <c r="A178" s="1">
        <v>176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 t="s">
        <v>329</v>
      </c>
      <c r="AR178" s="1" t="s">
        <v>330</v>
      </c>
      <c r="AS178" s="1" t="s">
        <v>330</v>
      </c>
      <c r="AT178" s="1" t="s">
        <v>330</v>
      </c>
      <c r="AU178" s="1" t="s">
        <v>330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x14ac:dyDescent="0.25">
      <c r="A179" s="1">
        <v>177</v>
      </c>
      <c r="B179" s="1"/>
      <c r="C179" s="1"/>
      <c r="D179" s="1"/>
      <c r="E179" s="1"/>
      <c r="F179" s="1" t="s">
        <v>321</v>
      </c>
      <c r="G179" s="1"/>
      <c r="H179" s="1"/>
      <c r="I179" s="1"/>
      <c r="J179" s="1"/>
      <c r="K179" s="1" t="s">
        <v>321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 t="s">
        <v>321</v>
      </c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x14ac:dyDescent="0.25">
      <c r="A180" s="1">
        <v>178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 t="s">
        <v>330</v>
      </c>
      <c r="BM180" s="1"/>
      <c r="BN180" s="1"/>
      <c r="BO180" s="1"/>
      <c r="BP180" s="1"/>
      <c r="BQ180" s="1"/>
    </row>
    <row r="181" spans="1:69" x14ac:dyDescent="0.25">
      <c r="A181" s="1">
        <v>179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 t="s">
        <v>331</v>
      </c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x14ac:dyDescent="0.25">
      <c r="A182" s="1">
        <v>180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 t="s">
        <v>332</v>
      </c>
      <c r="BO182" s="1"/>
      <c r="BP182" s="1"/>
      <c r="BQ182" s="1" t="s">
        <v>333</v>
      </c>
    </row>
    <row r="183" spans="1:69" x14ac:dyDescent="0.25">
      <c r="A183" s="1">
        <v>181</v>
      </c>
      <c r="B183" s="1"/>
      <c r="C183" s="1"/>
      <c r="D183" s="1"/>
      <c r="E183" s="1"/>
      <c r="F183" s="1" t="s">
        <v>281</v>
      </c>
      <c r="G183" s="1"/>
      <c r="H183" s="1"/>
      <c r="I183" s="1"/>
      <c r="J183" s="1"/>
      <c r="K183" s="1" t="s">
        <v>281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 t="s">
        <v>281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 t="s">
        <v>281</v>
      </c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x14ac:dyDescent="0.25">
      <c r="A184" s="1">
        <v>182</v>
      </c>
      <c r="B184" s="1"/>
      <c r="C184" s="1"/>
      <c r="D184" s="1"/>
      <c r="E184" s="1"/>
      <c r="F184" s="1" t="s">
        <v>282</v>
      </c>
      <c r="G184" s="1"/>
      <c r="H184" s="1"/>
      <c r="I184" s="1"/>
      <c r="J184" s="1"/>
      <c r="K184" s="1" t="s">
        <v>282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 t="s">
        <v>282</v>
      </c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 t="s">
        <v>282</v>
      </c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x14ac:dyDescent="0.25">
      <c r="A185" s="1">
        <v>183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 t="s">
        <v>334</v>
      </c>
      <c r="BM185" s="1"/>
      <c r="BN185" s="1"/>
      <c r="BO185" s="1"/>
      <c r="BP185" s="1"/>
      <c r="BQ185" s="1"/>
    </row>
  </sheetData>
  <conditionalFormatting sqref="A2:BQ185">
    <cfRule type="containsText" dxfId="19" priority="1" operator="containsText" text="R4">
      <formula>NOT(ISERROR(SEARCH("R4",A2)))</formula>
    </cfRule>
    <cfRule type="containsText" dxfId="18" priority="2" operator="containsText" text=",">
      <formula>NOT(ISERROR(SEARCH(",",A2)))</formula>
    </cfRule>
    <cfRule type="expression" dxfId="17" priority="3">
      <formula>MOD($A3,2)=1</formula>
    </cfRule>
    <cfRule type="expression" dxfId="16" priority="4">
      <formula>MOD($A3,2)=0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D51B-1F00-4D61-9369-13BEC16E5E45}">
  <dimension ref="A1:K65"/>
  <sheetViews>
    <sheetView tabSelected="1" topLeftCell="A31" workbookViewId="0">
      <selection activeCell="C17" sqref="C17"/>
    </sheetView>
  </sheetViews>
  <sheetFormatPr baseColWidth="10" defaultColWidth="9.140625" defaultRowHeight="15" x14ac:dyDescent="0.25"/>
  <cols>
    <col min="1" max="1" width="9.140625" style="2" customWidth="1"/>
    <col min="2" max="2" width="21.42578125" style="2" customWidth="1"/>
    <col min="3" max="3" width="52.140625" style="2" customWidth="1"/>
    <col min="4" max="4" width="26.5703125" style="2" bestFit="1" customWidth="1"/>
    <col min="5" max="5" width="4.140625" style="2" customWidth="1"/>
    <col min="6" max="6" width="7.42578125" style="4" bestFit="1" customWidth="1"/>
    <col min="7" max="7" width="25.85546875" style="2" bestFit="1" customWidth="1"/>
    <col min="8" max="8" width="2" style="2" bestFit="1" customWidth="1"/>
    <col min="9" max="9" width="6.85546875" style="2" customWidth="1"/>
    <col min="10" max="10" width="105.140625" style="2" customWidth="1"/>
    <col min="11" max="11" width="28.7109375" style="2" bestFit="1" customWidth="1"/>
    <col min="12" max="16384" width="9.140625" style="2"/>
  </cols>
  <sheetData>
    <row r="1" spans="1:11" x14ac:dyDescent="0.25">
      <c r="A1" s="2" t="s">
        <v>376</v>
      </c>
      <c r="B1" s="2" t="s">
        <v>375</v>
      </c>
      <c r="C1" s="2" t="s">
        <v>374</v>
      </c>
      <c r="D1" s="2" t="s">
        <v>404</v>
      </c>
      <c r="F1" s="4" t="s">
        <v>399</v>
      </c>
    </row>
    <row r="2" spans="1:11" x14ac:dyDescent="0.25">
      <c r="A2" s="2">
        <v>1</v>
      </c>
      <c r="B2" s="2" t="s">
        <v>1</v>
      </c>
      <c r="C2" s="2" t="s">
        <v>373</v>
      </c>
      <c r="D2" s="2" t="str">
        <f t="shared" ref="D2:D5" si="0">_xlfn.CONCAT("save_",B2)</f>
        <v>save_program</v>
      </c>
      <c r="F2" s="4">
        <f>IF(LEN(C2)=0, 0, LEN(TRIM(C2))-LEN(SUBSTITUTE(TRIM(C2), " ", ""))+1)</f>
        <v>5</v>
      </c>
      <c r="G2" s="2" t="str" cm="1">
        <f t="array" ref="G2:G32">_xlfn.UNIQUE(D2:D65)</f>
        <v>save_program</v>
      </c>
      <c r="H2" s="2">
        <f>_xlfn.MAXIFS(F$2:F$65,D$2:D$65,G2)</f>
        <v>5</v>
      </c>
      <c r="J2" s="2" t="str">
        <f>_xlfn.CONCAT("&lt;",B2,"&gt; = ",C2," {",D2,"}")</f>
        <v>&lt;program&gt; = 'PROGRAM' identifier ';' &lt;block&gt; '.' {save_program}</v>
      </c>
      <c r="K2" s="2" t="str">
        <f>_xlfn.CONCAT("// ",D2)</f>
        <v>// save_program</v>
      </c>
    </row>
    <row r="3" spans="1:11" x14ac:dyDescent="0.25">
      <c r="A3" s="2">
        <v>2</v>
      </c>
      <c r="B3" s="2" t="s">
        <v>6</v>
      </c>
      <c r="C3" s="2" t="s">
        <v>372</v>
      </c>
      <c r="D3" s="2" t="str">
        <f t="shared" si="0"/>
        <v>save_block</v>
      </c>
      <c r="F3" s="4">
        <f t="shared" ref="F3:F65" si="1">IF(LEN(C3)=0, 0, LEN(TRIM(C3))-LEN(SUBSTITUTE(TRIM(C3), " ", ""))+1)</f>
        <v>2</v>
      </c>
      <c r="G3" s="2" t="str">
        <v>save_block</v>
      </c>
      <c r="H3" s="2">
        <f t="shared" ref="H3:H32" si="2">_xlfn.MAXIFS(F$2:F$65,D$2:D$65,G3)</f>
        <v>2</v>
      </c>
      <c r="J3" s="2" t="str">
        <f t="shared" ref="J3:J65" si="3">_xlfn.CONCAT("&lt;",B3,"&gt; = ",C3," {",D3,"}")</f>
        <v>&lt;block&gt; = &lt;declarations&gt; &lt;compound_statement&gt; {save_block}</v>
      </c>
      <c r="K3" s="2" t="str">
        <f t="shared" ref="K3:K65" si="4">_xlfn.CONCAT("// ",D3)</f>
        <v>// save_block</v>
      </c>
    </row>
    <row r="4" spans="1:11" x14ac:dyDescent="0.25">
      <c r="A4" s="2">
        <v>3</v>
      </c>
      <c r="B4" s="2" t="s">
        <v>7</v>
      </c>
      <c r="C4" s="2" t="s">
        <v>371</v>
      </c>
      <c r="D4" s="2" t="str">
        <f t="shared" si="0"/>
        <v>save_declarations</v>
      </c>
      <c r="F4" s="4">
        <f t="shared" si="1"/>
        <v>2</v>
      </c>
      <c r="G4" s="2" t="str">
        <v>save_declarations</v>
      </c>
      <c r="H4" s="2">
        <f t="shared" si="2"/>
        <v>2</v>
      </c>
      <c r="J4" s="2" t="str">
        <f t="shared" si="3"/>
        <v>&lt;declarations&gt; = &lt;var_declaration&gt; &lt;declarations&gt; {save_declarations}</v>
      </c>
      <c r="K4" s="2" t="str">
        <f t="shared" si="4"/>
        <v>// save_declarations</v>
      </c>
    </row>
    <row r="5" spans="1:11" x14ac:dyDescent="0.25">
      <c r="A5" s="2">
        <v>4</v>
      </c>
      <c r="B5" s="2" t="s">
        <v>7</v>
      </c>
      <c r="C5" s="2" t="s">
        <v>370</v>
      </c>
      <c r="D5" s="2" t="str">
        <f t="shared" si="0"/>
        <v>save_declarations</v>
      </c>
      <c r="F5" s="4">
        <f t="shared" si="1"/>
        <v>2</v>
      </c>
      <c r="G5" s="2" t="str">
        <v>keep_value</v>
      </c>
      <c r="H5" s="2">
        <f t="shared" si="2"/>
        <v>1</v>
      </c>
      <c r="J5" s="2" t="str">
        <f t="shared" si="3"/>
        <v>&lt;declarations&gt; = &lt;procedure_declaration&gt; &lt;declarations&gt; {save_declarations}</v>
      </c>
      <c r="K5" s="2" t="str">
        <f t="shared" si="4"/>
        <v>// save_declarations</v>
      </c>
    </row>
    <row r="6" spans="1:11" x14ac:dyDescent="0.25">
      <c r="A6" s="2">
        <v>5</v>
      </c>
      <c r="B6" s="2" t="s">
        <v>7</v>
      </c>
      <c r="C6" s="2" t="s">
        <v>10</v>
      </c>
      <c r="D6" s="2" t="s">
        <v>388</v>
      </c>
      <c r="F6" s="4">
        <f t="shared" si="1"/>
        <v>1</v>
      </c>
      <c r="G6" s="2" t="str">
        <v>save_var_declaration</v>
      </c>
      <c r="H6" s="2">
        <f t="shared" si="2"/>
        <v>6</v>
      </c>
      <c r="J6" s="2" t="str">
        <f t="shared" si="3"/>
        <v>&lt;declarations&gt; = ε {keep_value}</v>
      </c>
      <c r="K6" s="2" t="str">
        <f t="shared" si="4"/>
        <v>// keep_value</v>
      </c>
    </row>
    <row r="7" spans="1:11" x14ac:dyDescent="0.25">
      <c r="A7" s="2">
        <v>6</v>
      </c>
      <c r="B7" s="2" t="s">
        <v>8</v>
      </c>
      <c r="C7" s="2" t="s">
        <v>369</v>
      </c>
      <c r="D7" s="2" t="str">
        <f t="shared" ref="D7" si="5">_xlfn.CONCAT("save_",B7)</f>
        <v>save_var_declaration</v>
      </c>
      <c r="F7" s="4">
        <f t="shared" si="1"/>
        <v>6</v>
      </c>
      <c r="G7" s="2" t="str">
        <v>save_procedure_declaration</v>
      </c>
      <c r="H7" s="2">
        <f t="shared" si="2"/>
        <v>8</v>
      </c>
      <c r="J7" s="2" t="str">
        <f t="shared" si="3"/>
        <v>&lt;var_declaration&gt; = 'VAR' identifier ':' &lt;type&gt; ';' &lt;var_declaration&gt; {save_var_declaration}</v>
      </c>
      <c r="K7" s="2" t="str">
        <f t="shared" si="4"/>
        <v>// save_var_declaration</v>
      </c>
    </row>
    <row r="8" spans="1:11" x14ac:dyDescent="0.25">
      <c r="A8" s="2">
        <v>7</v>
      </c>
      <c r="B8" s="2" t="s">
        <v>8</v>
      </c>
      <c r="C8" s="2" t="s">
        <v>10</v>
      </c>
      <c r="D8" s="2" t="s">
        <v>388</v>
      </c>
      <c r="F8" s="4">
        <f t="shared" si="1"/>
        <v>1</v>
      </c>
      <c r="G8" s="2" t="str">
        <v>save_parameter_list</v>
      </c>
      <c r="H8" s="2">
        <f t="shared" si="2"/>
        <v>4</v>
      </c>
      <c r="J8" s="2" t="str">
        <f t="shared" si="3"/>
        <v>&lt;var_declaration&gt; = ε {keep_value}</v>
      </c>
      <c r="K8" s="2" t="str">
        <f t="shared" si="4"/>
        <v>// keep_value</v>
      </c>
    </row>
    <row r="9" spans="1:11" x14ac:dyDescent="0.25">
      <c r="A9" s="2">
        <v>8</v>
      </c>
      <c r="B9" s="2" t="s">
        <v>9</v>
      </c>
      <c r="C9" s="2" t="s">
        <v>368</v>
      </c>
      <c r="D9" s="2" t="str">
        <f t="shared" ref="D9" si="6">_xlfn.CONCAT("save_",B9)</f>
        <v>save_procedure_declaration</v>
      </c>
      <c r="F9" s="4">
        <f t="shared" si="1"/>
        <v>8</v>
      </c>
      <c r="G9" s="2" t="str">
        <v>save_parameter_list_ext</v>
      </c>
      <c r="H9" s="2">
        <f t="shared" si="2"/>
        <v>5</v>
      </c>
      <c r="J9" s="2" t="str">
        <f t="shared" si="3"/>
        <v>&lt;procedure_declaration&gt; = 'PROCEDURE' identifier '(' &lt;parameter_list&gt; ')' ';' &lt;block&gt; ';' {save_procedure_declaration}</v>
      </c>
      <c r="K9" s="2" t="str">
        <f t="shared" si="4"/>
        <v>// save_procedure_declaration</v>
      </c>
    </row>
    <row r="10" spans="1:11" x14ac:dyDescent="0.25">
      <c r="A10" s="2">
        <v>9</v>
      </c>
      <c r="B10" s="2" t="s">
        <v>47</v>
      </c>
      <c r="C10" s="2" t="s">
        <v>367</v>
      </c>
      <c r="D10" s="2" t="str">
        <f t="shared" ref="D10" si="7">_xlfn.CONCAT("save_",B10)</f>
        <v>save_parameter_list</v>
      </c>
      <c r="F10" s="4">
        <f t="shared" si="1"/>
        <v>4</v>
      </c>
      <c r="G10" s="2" t="str">
        <v>save_type</v>
      </c>
      <c r="H10" s="2">
        <f t="shared" si="2"/>
        <v>1</v>
      </c>
      <c r="J10" s="2" t="str">
        <f t="shared" si="3"/>
        <v>&lt;parameter_list&gt; = identifier ':' &lt;type&gt; &lt;parameter_list_ext&gt; {save_parameter_list}</v>
      </c>
      <c r="K10" s="2" t="str">
        <f t="shared" si="4"/>
        <v>// save_parameter_list</v>
      </c>
    </row>
    <row r="11" spans="1:11" x14ac:dyDescent="0.25">
      <c r="A11" s="2">
        <v>10</v>
      </c>
      <c r="B11" s="2" t="s">
        <v>47</v>
      </c>
      <c r="C11" s="2" t="s">
        <v>10</v>
      </c>
      <c r="D11" s="2" t="s">
        <v>388</v>
      </c>
      <c r="F11" s="4">
        <f t="shared" si="1"/>
        <v>1</v>
      </c>
      <c r="G11" s="2" t="str">
        <v>save_compound_statement</v>
      </c>
      <c r="H11" s="2">
        <f t="shared" si="2"/>
        <v>3</v>
      </c>
      <c r="J11" s="2" t="str">
        <f t="shared" si="3"/>
        <v>&lt;parameter_list&gt; = ε {keep_value}</v>
      </c>
      <c r="K11" s="2" t="str">
        <f t="shared" si="4"/>
        <v>// keep_value</v>
      </c>
    </row>
    <row r="12" spans="1:11" x14ac:dyDescent="0.25">
      <c r="A12" s="2">
        <v>11</v>
      </c>
      <c r="B12" s="2" t="s">
        <v>68</v>
      </c>
      <c r="C12" s="2" t="s">
        <v>366</v>
      </c>
      <c r="D12" s="2" t="str">
        <f t="shared" ref="D12" si="8">_xlfn.CONCAT("save_",B12)</f>
        <v>save_parameter_list_ext</v>
      </c>
      <c r="F12" s="4">
        <f t="shared" si="1"/>
        <v>5</v>
      </c>
      <c r="G12" s="2" t="str">
        <v>save_statement_list</v>
      </c>
      <c r="H12" s="2">
        <f t="shared" si="2"/>
        <v>2</v>
      </c>
      <c r="J12" s="2" t="str">
        <f t="shared" si="3"/>
        <v>&lt;parameter_list_ext&gt; = ',' identifier ':' &lt;type&gt; &lt;parameter_list_ext&gt; {save_parameter_list_ext}</v>
      </c>
      <c r="K12" s="2" t="str">
        <f t="shared" si="4"/>
        <v>// save_parameter_list_ext</v>
      </c>
    </row>
    <row r="13" spans="1:11" x14ac:dyDescent="0.25">
      <c r="A13" s="2">
        <v>12</v>
      </c>
      <c r="B13" s="3" t="s">
        <v>42</v>
      </c>
      <c r="C13" s="5" t="s">
        <v>420</v>
      </c>
      <c r="D13" s="2" t="s">
        <v>377</v>
      </c>
      <c r="F13" s="4">
        <f t="shared" si="1"/>
        <v>1</v>
      </c>
      <c r="G13" s="2" t="str">
        <v>save_statement_list_ext</v>
      </c>
      <c r="H13" s="2">
        <f t="shared" si="2"/>
        <v>3</v>
      </c>
      <c r="J13" s="2" t="str">
        <f t="shared" si="3"/>
        <v>&lt;type&gt; = 'INTEGER' {save_type}</v>
      </c>
      <c r="K13" s="2" t="str">
        <f t="shared" si="4"/>
        <v>// save_type</v>
      </c>
    </row>
    <row r="14" spans="1:11" x14ac:dyDescent="0.25">
      <c r="A14" s="2">
        <v>13</v>
      </c>
      <c r="B14" s="3" t="s">
        <v>42</v>
      </c>
      <c r="C14" s="5" t="s">
        <v>421</v>
      </c>
      <c r="D14" s="2" t="s">
        <v>377</v>
      </c>
      <c r="F14" s="4">
        <f t="shared" si="1"/>
        <v>1</v>
      </c>
      <c r="G14" s="2" t="str">
        <v>save_statement</v>
      </c>
      <c r="H14" s="2">
        <f t="shared" si="2"/>
        <v>1</v>
      </c>
      <c r="J14" s="2" t="str">
        <f t="shared" si="3"/>
        <v>&lt;type&gt; = 'REAL' {save_type}</v>
      </c>
      <c r="K14" s="2" t="str">
        <f t="shared" si="4"/>
        <v>// save_type</v>
      </c>
    </row>
    <row r="15" spans="1:11" x14ac:dyDescent="0.25">
      <c r="A15" s="2">
        <v>14</v>
      </c>
      <c r="B15" s="3" t="s">
        <v>42</v>
      </c>
      <c r="C15" s="5" t="s">
        <v>422</v>
      </c>
      <c r="D15" s="2" t="s">
        <v>377</v>
      </c>
      <c r="F15" s="4">
        <f t="shared" si="1"/>
        <v>1</v>
      </c>
      <c r="G15" s="2" t="str">
        <v>save_assignment</v>
      </c>
      <c r="H15" s="2">
        <f t="shared" si="2"/>
        <v>3</v>
      </c>
      <c r="J15" s="2" t="str">
        <f t="shared" si="3"/>
        <v>&lt;type&gt; = BOOLEAN' {save_type}</v>
      </c>
      <c r="K15" s="2" t="str">
        <f t="shared" si="4"/>
        <v>// save_type</v>
      </c>
    </row>
    <row r="16" spans="1:11" x14ac:dyDescent="0.25">
      <c r="A16" s="2">
        <v>15</v>
      </c>
      <c r="B16" s="3" t="s">
        <v>42</v>
      </c>
      <c r="C16" s="5" t="s">
        <v>423</v>
      </c>
      <c r="D16" s="2" t="s">
        <v>377</v>
      </c>
      <c r="F16" s="4">
        <f t="shared" si="1"/>
        <v>1</v>
      </c>
      <c r="G16" s="2" t="str">
        <v>save_if_statement</v>
      </c>
      <c r="H16" s="2">
        <f t="shared" si="2"/>
        <v>5</v>
      </c>
      <c r="J16" s="2" t="str">
        <f t="shared" si="3"/>
        <v>&lt;type&gt; = 'STRING' {save_type}</v>
      </c>
      <c r="K16" s="2" t="str">
        <f t="shared" si="4"/>
        <v>// save_type</v>
      </c>
    </row>
    <row r="17" spans="1:11" x14ac:dyDescent="0.25">
      <c r="A17" s="2">
        <v>16</v>
      </c>
      <c r="B17" s="2" t="s">
        <v>14</v>
      </c>
      <c r="C17" s="2" t="s">
        <v>365</v>
      </c>
      <c r="D17" s="2" t="str">
        <f t="shared" ref="D17:D19" si="9">_xlfn.CONCAT("save_",B17)</f>
        <v>save_compound_statement</v>
      </c>
      <c r="F17" s="4">
        <f t="shared" si="1"/>
        <v>3</v>
      </c>
      <c r="G17" s="2" t="str">
        <v>save_else_statement</v>
      </c>
      <c r="H17" s="2">
        <f t="shared" si="2"/>
        <v>2</v>
      </c>
      <c r="J17" s="2" t="str">
        <f t="shared" si="3"/>
        <v>&lt;compound_statement&gt; = 'BEGIN' &lt;statement_list&gt; 'END' {save_compound_statement}</v>
      </c>
      <c r="K17" s="2" t="str">
        <f t="shared" si="4"/>
        <v>// save_compound_statement</v>
      </c>
    </row>
    <row r="18" spans="1:11" x14ac:dyDescent="0.25">
      <c r="A18" s="2">
        <v>17</v>
      </c>
      <c r="B18" s="2" t="s">
        <v>16</v>
      </c>
      <c r="C18" s="2" t="s">
        <v>364</v>
      </c>
      <c r="D18" s="2" t="str">
        <f t="shared" si="9"/>
        <v>save_statement_list</v>
      </c>
      <c r="F18" s="4">
        <f t="shared" si="1"/>
        <v>1</v>
      </c>
      <c r="G18" s="2" t="str">
        <v>save_while_statement</v>
      </c>
      <c r="H18" s="2">
        <f t="shared" si="2"/>
        <v>4</v>
      </c>
      <c r="J18" s="2" t="str">
        <f t="shared" si="3"/>
        <v>&lt;statement_list&gt; = &lt;statement&gt; {save_statement_list}</v>
      </c>
      <c r="K18" s="2" t="str">
        <f t="shared" si="4"/>
        <v>// save_statement_list</v>
      </c>
    </row>
    <row r="19" spans="1:11" x14ac:dyDescent="0.25">
      <c r="A19" s="2">
        <v>18</v>
      </c>
      <c r="B19" s="2" t="s">
        <v>16</v>
      </c>
      <c r="C19" s="2" t="s">
        <v>363</v>
      </c>
      <c r="D19" s="2" t="str">
        <f t="shared" si="9"/>
        <v>save_statement_list</v>
      </c>
      <c r="F19" s="4">
        <f t="shared" si="1"/>
        <v>2</v>
      </c>
      <c r="G19" s="2" t="str">
        <v>save_procedure_call</v>
      </c>
      <c r="H19" s="2">
        <f t="shared" si="2"/>
        <v>4</v>
      </c>
      <c r="J19" s="2" t="str">
        <f t="shared" si="3"/>
        <v>&lt;statement_list&gt; = &lt;statement&gt; &lt;statement_list_ext&gt; {save_statement_list}</v>
      </c>
      <c r="K19" s="2" t="str">
        <f t="shared" si="4"/>
        <v>// save_statement_list</v>
      </c>
    </row>
    <row r="20" spans="1:11" x14ac:dyDescent="0.25">
      <c r="A20" s="2">
        <v>19</v>
      </c>
      <c r="B20" s="2" t="s">
        <v>30</v>
      </c>
      <c r="C20" s="2" t="s">
        <v>362</v>
      </c>
      <c r="D20" s="2" t="str">
        <f t="shared" ref="D20:D25" si="10">_xlfn.CONCAT("save_",B20)</f>
        <v>save_statement_list_ext</v>
      </c>
      <c r="F20" s="4">
        <f t="shared" si="1"/>
        <v>3</v>
      </c>
      <c r="G20" s="2" t="str">
        <v>save_argument_list</v>
      </c>
      <c r="H20" s="2">
        <f t="shared" si="2"/>
        <v>2</v>
      </c>
      <c r="J20" s="2" t="str">
        <f t="shared" si="3"/>
        <v>&lt;statement_list_ext&gt; = ';' &lt;statement&gt; &lt;statement_list_ext&gt; {save_statement_list_ext}</v>
      </c>
      <c r="K20" s="2" t="str">
        <f t="shared" si="4"/>
        <v>// save_statement_list_ext</v>
      </c>
    </row>
    <row r="21" spans="1:11" x14ac:dyDescent="0.25">
      <c r="A21" s="2">
        <v>20</v>
      </c>
      <c r="B21" s="2" t="s">
        <v>30</v>
      </c>
      <c r="C21" s="2" t="s">
        <v>10</v>
      </c>
      <c r="D21" s="2" t="s">
        <v>388</v>
      </c>
      <c r="F21" s="4">
        <f t="shared" si="1"/>
        <v>1</v>
      </c>
      <c r="G21" s="2" t="str">
        <v>save_argument_list_ext</v>
      </c>
      <c r="H21" s="2">
        <f t="shared" si="2"/>
        <v>3</v>
      </c>
      <c r="J21" s="2" t="str">
        <f t="shared" si="3"/>
        <v>&lt;statement_list_ext&gt; = ε {keep_value}</v>
      </c>
      <c r="K21" s="2" t="str">
        <f t="shared" si="4"/>
        <v>// keep_value</v>
      </c>
    </row>
    <row r="22" spans="1:11" x14ac:dyDescent="0.25">
      <c r="A22" s="2">
        <v>21</v>
      </c>
      <c r="B22" s="2" t="s">
        <v>17</v>
      </c>
      <c r="C22" s="2" t="s">
        <v>361</v>
      </c>
      <c r="D22" s="2" t="str">
        <f t="shared" si="10"/>
        <v>save_statement</v>
      </c>
      <c r="F22" s="4">
        <f t="shared" si="1"/>
        <v>1</v>
      </c>
      <c r="G22" s="2" t="str">
        <v>save_io_statement</v>
      </c>
      <c r="H22" s="2">
        <f t="shared" si="2"/>
        <v>4</v>
      </c>
      <c r="J22" s="2" t="str">
        <f t="shared" si="3"/>
        <v>&lt;statement&gt; = &lt;assignment&gt; {save_statement}</v>
      </c>
      <c r="K22" s="2" t="str">
        <f t="shared" si="4"/>
        <v>// save_statement</v>
      </c>
    </row>
    <row r="23" spans="1:11" x14ac:dyDescent="0.25">
      <c r="A23" s="2">
        <v>22</v>
      </c>
      <c r="B23" s="2" t="s">
        <v>17</v>
      </c>
      <c r="C23" s="2" t="s">
        <v>360</v>
      </c>
      <c r="D23" s="2" t="str">
        <f t="shared" si="10"/>
        <v>save_statement</v>
      </c>
      <c r="F23" s="4">
        <f t="shared" si="1"/>
        <v>1</v>
      </c>
      <c r="G23" s="2" t="str">
        <v>save_expression</v>
      </c>
      <c r="H23" s="2">
        <f t="shared" si="2"/>
        <v>2</v>
      </c>
      <c r="J23" s="2" t="str">
        <f t="shared" si="3"/>
        <v>&lt;statement&gt; = &lt;if_statement&gt; {save_statement}</v>
      </c>
      <c r="K23" s="2" t="str">
        <f t="shared" si="4"/>
        <v>// save_statement</v>
      </c>
    </row>
    <row r="24" spans="1:11" x14ac:dyDescent="0.25">
      <c r="A24" s="2">
        <v>23</v>
      </c>
      <c r="B24" s="2" t="s">
        <v>17</v>
      </c>
      <c r="C24" s="2" t="s">
        <v>359</v>
      </c>
      <c r="D24" s="2" t="str">
        <f t="shared" si="10"/>
        <v>save_statement</v>
      </c>
      <c r="F24" s="4">
        <f t="shared" si="1"/>
        <v>1</v>
      </c>
      <c r="G24" s="2" t="str">
        <v>save_expression_extension</v>
      </c>
      <c r="H24" s="2">
        <f t="shared" si="2"/>
        <v>2</v>
      </c>
      <c r="J24" s="2" t="str">
        <f t="shared" si="3"/>
        <v>&lt;statement&gt; = &lt;while_statement&gt; {save_statement}</v>
      </c>
      <c r="K24" s="2" t="str">
        <f t="shared" si="4"/>
        <v>// save_statement</v>
      </c>
    </row>
    <row r="25" spans="1:11" x14ac:dyDescent="0.25">
      <c r="A25" s="2">
        <v>24</v>
      </c>
      <c r="B25" s="2" t="s">
        <v>17</v>
      </c>
      <c r="C25" s="2" t="s">
        <v>358</v>
      </c>
      <c r="D25" s="2" t="str">
        <f t="shared" si="10"/>
        <v>save_statement</v>
      </c>
      <c r="F25" s="4">
        <f t="shared" si="1"/>
        <v>1</v>
      </c>
      <c r="G25" s="2" t="str">
        <v>save_simple_expression</v>
      </c>
      <c r="H25" s="2">
        <f t="shared" si="2"/>
        <v>3</v>
      </c>
      <c r="J25" s="2" t="str">
        <f t="shared" si="3"/>
        <v>&lt;statement&gt; = &lt;procedure_call&gt; {save_statement}</v>
      </c>
      <c r="K25" s="2" t="str">
        <f t="shared" si="4"/>
        <v>// save_statement</v>
      </c>
    </row>
    <row r="26" spans="1:11" x14ac:dyDescent="0.25">
      <c r="A26" s="2">
        <v>25</v>
      </c>
      <c r="B26" s="2" t="s">
        <v>17</v>
      </c>
      <c r="C26" s="2" t="s">
        <v>357</v>
      </c>
      <c r="D26" s="2" t="str">
        <f>_xlfn.CONCAT("save_",B26)</f>
        <v>save_statement</v>
      </c>
      <c r="F26" s="4">
        <f t="shared" si="1"/>
        <v>1</v>
      </c>
      <c r="G26" s="2" t="str">
        <v>save_term</v>
      </c>
      <c r="H26" s="2">
        <f t="shared" si="2"/>
        <v>3</v>
      </c>
      <c r="J26" s="2" t="str">
        <f t="shared" si="3"/>
        <v>&lt;statement&gt; = &lt;io_statement&gt; {save_statement}</v>
      </c>
      <c r="K26" s="2" t="str">
        <f t="shared" si="4"/>
        <v>// save_statement</v>
      </c>
    </row>
    <row r="27" spans="1:11" x14ac:dyDescent="0.25">
      <c r="A27" s="2">
        <v>26</v>
      </c>
      <c r="B27" s="2" t="s">
        <v>18</v>
      </c>
      <c r="C27" s="2" t="s">
        <v>356</v>
      </c>
      <c r="D27" s="2" t="str">
        <f>_xlfn.CONCAT("save_",B27)</f>
        <v>save_assignment</v>
      </c>
      <c r="F27" s="4">
        <f t="shared" si="1"/>
        <v>3</v>
      </c>
      <c r="G27" s="2" t="str">
        <v>save_factor</v>
      </c>
      <c r="H27" s="2">
        <f t="shared" si="2"/>
        <v>3</v>
      </c>
      <c r="J27" s="2" t="str">
        <f t="shared" si="3"/>
        <v>&lt;assignment&gt; = identifier ':=' &lt;expression&gt; {save_assignment}</v>
      </c>
      <c r="K27" s="2" t="str">
        <f t="shared" si="4"/>
        <v>// save_assignment</v>
      </c>
    </row>
    <row r="28" spans="1:11" x14ac:dyDescent="0.25">
      <c r="A28" s="2">
        <v>27</v>
      </c>
      <c r="B28" s="2" t="s">
        <v>19</v>
      </c>
      <c r="C28" s="2" t="s">
        <v>355</v>
      </c>
      <c r="D28" s="2" t="str">
        <f>_xlfn.CONCAT("save_",B28)</f>
        <v>save_if_statement</v>
      </c>
      <c r="F28" s="4">
        <f t="shared" si="1"/>
        <v>5</v>
      </c>
      <c r="G28" s="2" t="str">
        <v>save_identifier</v>
      </c>
      <c r="H28" s="2">
        <f t="shared" si="2"/>
        <v>1</v>
      </c>
      <c r="J28" s="2" t="str">
        <f t="shared" si="3"/>
        <v>&lt;if_statement&gt; = 'IF' &lt;expression&gt; 'THEN' &lt;statement&gt; &lt;else_statement&gt; {save_if_statement}</v>
      </c>
      <c r="K28" s="2" t="str">
        <f t="shared" si="4"/>
        <v>// save_if_statement</v>
      </c>
    </row>
    <row r="29" spans="1:11" x14ac:dyDescent="0.25">
      <c r="A29" s="2">
        <v>28</v>
      </c>
      <c r="B29" s="2" t="s">
        <v>66</v>
      </c>
      <c r="C29" s="2" t="s">
        <v>354</v>
      </c>
      <c r="D29" s="2" t="str">
        <f>_xlfn.CONCAT("save_",B29)</f>
        <v>save_else_statement</v>
      </c>
      <c r="F29" s="4">
        <f t="shared" si="1"/>
        <v>2</v>
      </c>
      <c r="G29" s="2" t="str">
        <v>save_number</v>
      </c>
      <c r="H29" s="2">
        <f t="shared" si="2"/>
        <v>1</v>
      </c>
      <c r="J29" s="2" t="str">
        <f t="shared" si="3"/>
        <v>&lt;else_statement&gt; = 'ELSE' &lt;statement&gt; {save_else_statement}</v>
      </c>
      <c r="K29" s="2" t="str">
        <f t="shared" si="4"/>
        <v>// save_else_statement</v>
      </c>
    </row>
    <row r="30" spans="1:11" x14ac:dyDescent="0.25">
      <c r="A30" s="2">
        <v>29</v>
      </c>
      <c r="B30" s="2" t="s">
        <v>66</v>
      </c>
      <c r="C30" s="2" t="s">
        <v>10</v>
      </c>
      <c r="D30" s="2" t="s">
        <v>388</v>
      </c>
      <c r="F30" s="4">
        <f t="shared" si="1"/>
        <v>1</v>
      </c>
      <c r="G30" s="2" t="str">
        <v>save_operator</v>
      </c>
      <c r="H30" s="2">
        <f t="shared" si="2"/>
        <v>1</v>
      </c>
      <c r="J30" s="2" t="str">
        <f t="shared" si="3"/>
        <v>&lt;else_statement&gt; = ε {keep_value}</v>
      </c>
      <c r="K30" s="2" t="str">
        <f t="shared" si="4"/>
        <v>// keep_value</v>
      </c>
    </row>
    <row r="31" spans="1:11" x14ac:dyDescent="0.25">
      <c r="A31" s="2">
        <v>30</v>
      </c>
      <c r="B31" s="2" t="s">
        <v>20</v>
      </c>
      <c r="C31" s="2" t="s">
        <v>353</v>
      </c>
      <c r="D31" s="2" t="str">
        <f>_xlfn.CONCAT("save_",B31)</f>
        <v>save_while_statement</v>
      </c>
      <c r="E31" s="2" t="s">
        <v>403</v>
      </c>
      <c r="F31" s="4">
        <f t="shared" si="1"/>
        <v>4</v>
      </c>
      <c r="G31" s="2" t="str">
        <v>save_string</v>
      </c>
      <c r="H31" s="2">
        <f t="shared" si="2"/>
        <v>3</v>
      </c>
      <c r="J31" s="2" t="str">
        <f t="shared" si="3"/>
        <v>&lt;while_statement&gt; = 'WHILE' &lt;expression&gt; 'DO' &lt;statement&gt; {save_while_statement}</v>
      </c>
      <c r="K31" s="2" t="str">
        <f t="shared" si="4"/>
        <v>// save_while_statement</v>
      </c>
    </row>
    <row r="32" spans="1:11" x14ac:dyDescent="0.25">
      <c r="A32" s="2">
        <v>31</v>
      </c>
      <c r="B32" s="2" t="s">
        <v>21</v>
      </c>
      <c r="C32" s="2" t="s">
        <v>352</v>
      </c>
      <c r="D32" s="2" t="str">
        <f>_xlfn.CONCAT("save_",B32)</f>
        <v>save_procedure_call</v>
      </c>
      <c r="E32" s="2" t="s">
        <v>402</v>
      </c>
      <c r="F32" s="4">
        <f t="shared" si="1"/>
        <v>4</v>
      </c>
      <c r="G32" s="2" t="str">
        <v>save_boolean</v>
      </c>
      <c r="H32" s="2">
        <f t="shared" si="2"/>
        <v>1</v>
      </c>
      <c r="J32" s="2" t="str">
        <f t="shared" si="3"/>
        <v>&lt;procedure_call&gt; = identifier '(' &lt;argument_list&gt; ')' {save_procedure_call}</v>
      </c>
      <c r="K32" s="2" t="str">
        <f t="shared" si="4"/>
        <v>// save_procedure_call</v>
      </c>
    </row>
    <row r="33" spans="1:11" x14ac:dyDescent="0.25">
      <c r="A33" s="2">
        <v>32</v>
      </c>
      <c r="B33" s="2" t="s">
        <v>48</v>
      </c>
      <c r="C33" s="2" t="s">
        <v>351</v>
      </c>
      <c r="D33" s="2" t="str">
        <f>_xlfn.CONCAT("save_",B33)</f>
        <v>save_argument_list</v>
      </c>
      <c r="E33" s="2" t="s">
        <v>401</v>
      </c>
      <c r="F33" s="4">
        <f t="shared" si="1"/>
        <v>2</v>
      </c>
      <c r="J33" s="2" t="str">
        <f t="shared" si="3"/>
        <v>&lt;argument_list&gt; = &lt;expression&gt; &lt;argument_list_ext&gt; {save_argument_list}</v>
      </c>
      <c r="K33" s="2" t="str">
        <f t="shared" si="4"/>
        <v>// save_argument_list</v>
      </c>
    </row>
    <row r="34" spans="1:11" x14ac:dyDescent="0.25">
      <c r="A34" s="2">
        <v>33</v>
      </c>
      <c r="B34" s="2" t="s">
        <v>48</v>
      </c>
      <c r="C34" s="2" t="s">
        <v>10</v>
      </c>
      <c r="D34" s="2" t="s">
        <v>388</v>
      </c>
      <c r="F34" s="4">
        <f t="shared" si="1"/>
        <v>1</v>
      </c>
      <c r="J34" s="2" t="str">
        <f t="shared" si="3"/>
        <v>&lt;argument_list&gt; = ε {keep_value}</v>
      </c>
      <c r="K34" s="2" t="str">
        <f t="shared" si="4"/>
        <v>// keep_value</v>
      </c>
    </row>
    <row r="35" spans="1:11" x14ac:dyDescent="0.25">
      <c r="A35" s="2">
        <v>34</v>
      </c>
      <c r="B35" s="2" t="s">
        <v>64</v>
      </c>
      <c r="C35" s="2" t="s">
        <v>350</v>
      </c>
      <c r="D35" s="2" t="str">
        <f>_xlfn.CONCAT("save_",B35)</f>
        <v>save_argument_list_ext</v>
      </c>
      <c r="E35" s="2" t="s">
        <v>400</v>
      </c>
      <c r="F35" s="4">
        <f t="shared" si="1"/>
        <v>3</v>
      </c>
      <c r="J35" s="2" t="str">
        <f t="shared" si="3"/>
        <v>&lt;argument_list_ext&gt; = ',' &lt;expression&gt; &lt;argument_list_ext&gt; {save_argument_list_ext}</v>
      </c>
      <c r="K35" s="2" t="str">
        <f t="shared" si="4"/>
        <v>// save_argument_list_ext</v>
      </c>
    </row>
    <row r="36" spans="1:11" x14ac:dyDescent="0.25">
      <c r="A36" s="2">
        <v>35</v>
      </c>
      <c r="B36" s="2" t="s">
        <v>64</v>
      </c>
      <c r="C36" s="2" t="s">
        <v>10</v>
      </c>
      <c r="D36" s="2" t="s">
        <v>388</v>
      </c>
      <c r="F36" s="4">
        <f t="shared" si="1"/>
        <v>1</v>
      </c>
      <c r="J36" s="2" t="str">
        <f t="shared" si="3"/>
        <v>&lt;argument_list_ext&gt; = ε {keep_value}</v>
      </c>
      <c r="K36" s="2" t="str">
        <f t="shared" si="4"/>
        <v>// keep_value</v>
      </c>
    </row>
    <row r="37" spans="1:11" x14ac:dyDescent="0.25">
      <c r="A37" s="2">
        <v>36</v>
      </c>
      <c r="B37" s="2" t="s">
        <v>22</v>
      </c>
      <c r="C37" s="2" t="s">
        <v>349</v>
      </c>
      <c r="D37" s="2" t="s">
        <v>378</v>
      </c>
      <c r="E37" s="2" t="s">
        <v>397</v>
      </c>
      <c r="F37" s="4">
        <f t="shared" si="1"/>
        <v>4</v>
      </c>
      <c r="J37" s="2" t="str">
        <f t="shared" si="3"/>
        <v>&lt;io_statement&gt; = 'PRINTLN' '(' &lt;expression&gt; ')' {save_io_statement}</v>
      </c>
      <c r="K37" s="2" t="str">
        <f t="shared" si="4"/>
        <v>// save_io_statement</v>
      </c>
    </row>
    <row r="38" spans="1:11" x14ac:dyDescent="0.25">
      <c r="A38" s="2">
        <v>37</v>
      </c>
      <c r="B38" s="2" t="s">
        <v>22</v>
      </c>
      <c r="C38" s="2" t="s">
        <v>348</v>
      </c>
      <c r="D38" s="2" t="s">
        <v>378</v>
      </c>
      <c r="E38" s="2" t="s">
        <v>398</v>
      </c>
      <c r="F38" s="4">
        <f t="shared" si="1"/>
        <v>4</v>
      </c>
      <c r="J38" s="2" t="str">
        <f t="shared" si="3"/>
        <v>&lt;io_statement&gt; = 'READLN' '(' identifier ')' {save_io_statement}</v>
      </c>
      <c r="K38" s="2" t="str">
        <f t="shared" si="4"/>
        <v>// save_io_statement</v>
      </c>
    </row>
    <row r="39" spans="1:11" x14ac:dyDescent="0.25">
      <c r="A39" s="2">
        <v>38</v>
      </c>
      <c r="B39" s="2" t="s">
        <v>32</v>
      </c>
      <c r="C39" s="2" t="s">
        <v>347</v>
      </c>
      <c r="D39" s="2" t="s">
        <v>379</v>
      </c>
      <c r="E39" s="2" t="s">
        <v>393</v>
      </c>
      <c r="F39" s="4">
        <f t="shared" si="1"/>
        <v>2</v>
      </c>
      <c r="J39" s="2" t="str">
        <f t="shared" si="3"/>
        <v>&lt;expression&gt; = &lt;simple_expression&gt; &lt;expression_ext&gt; {save_expression}</v>
      </c>
      <c r="K39" s="2" t="str">
        <f t="shared" si="4"/>
        <v>// save_expression</v>
      </c>
    </row>
    <row r="40" spans="1:11" x14ac:dyDescent="0.25">
      <c r="A40" s="2">
        <v>39</v>
      </c>
      <c r="B40" s="2" t="s">
        <v>50</v>
      </c>
      <c r="C40" s="2" t="s">
        <v>346</v>
      </c>
      <c r="D40" s="2" t="s">
        <v>392</v>
      </c>
      <c r="E40" s="2" t="s">
        <v>394</v>
      </c>
      <c r="F40" s="4">
        <f t="shared" si="1"/>
        <v>2</v>
      </c>
      <c r="J40" s="2" t="str">
        <f t="shared" si="3"/>
        <v>&lt;expression_ext&gt; = &lt;relational_operator&gt; &lt;simple_expression&gt; {save_expression_extension}</v>
      </c>
      <c r="K40" s="2" t="str">
        <f t="shared" si="4"/>
        <v>// save_expression_extension</v>
      </c>
    </row>
    <row r="41" spans="1:11" x14ac:dyDescent="0.25">
      <c r="A41" s="2">
        <v>40</v>
      </c>
      <c r="B41" s="2" t="s">
        <v>50</v>
      </c>
      <c r="C41" s="2" t="s">
        <v>10</v>
      </c>
      <c r="D41" s="2" t="s">
        <v>388</v>
      </c>
      <c r="F41" s="4">
        <f t="shared" si="1"/>
        <v>1</v>
      </c>
      <c r="J41" s="2" t="str">
        <f t="shared" si="3"/>
        <v>&lt;expression_ext&gt; = ε {keep_value}</v>
      </c>
      <c r="K41" s="2" t="str">
        <f t="shared" si="4"/>
        <v>// keep_value</v>
      </c>
    </row>
    <row r="42" spans="1:11" x14ac:dyDescent="0.25">
      <c r="A42" s="2">
        <v>41</v>
      </c>
      <c r="B42" s="2" t="s">
        <v>33</v>
      </c>
      <c r="C42" s="2" t="s">
        <v>345</v>
      </c>
      <c r="D42" s="2" t="s">
        <v>380</v>
      </c>
      <c r="E42" s="2" t="s">
        <v>395</v>
      </c>
      <c r="F42" s="4">
        <f t="shared" si="1"/>
        <v>3</v>
      </c>
      <c r="J42" s="2" t="str">
        <f t="shared" si="3"/>
        <v>&lt;simple_expression&gt; = &lt;term&gt; &lt;additive_operator&gt; &lt;term&gt; {save_simple_expression}</v>
      </c>
      <c r="K42" s="2" t="str">
        <f t="shared" si="4"/>
        <v>// save_simple_expression</v>
      </c>
    </row>
    <row r="43" spans="1:11" x14ac:dyDescent="0.25">
      <c r="A43" s="2">
        <v>42</v>
      </c>
      <c r="B43" s="2" t="s">
        <v>33</v>
      </c>
      <c r="C43" s="2" t="s">
        <v>10</v>
      </c>
      <c r="D43" s="2" t="s">
        <v>388</v>
      </c>
      <c r="F43" s="4">
        <f t="shared" si="1"/>
        <v>1</v>
      </c>
      <c r="J43" s="2" t="str">
        <f t="shared" si="3"/>
        <v>&lt;simple_expression&gt; = ε {keep_value}</v>
      </c>
      <c r="K43" s="2" t="str">
        <f t="shared" si="4"/>
        <v>// keep_value</v>
      </c>
    </row>
    <row r="44" spans="1:11" x14ac:dyDescent="0.25">
      <c r="A44" s="2">
        <v>43</v>
      </c>
      <c r="B44" s="2" t="s">
        <v>34</v>
      </c>
      <c r="C44" s="2" t="s">
        <v>344</v>
      </c>
      <c r="D44" s="2" t="s">
        <v>381</v>
      </c>
      <c r="E44" s="2" t="s">
        <v>396</v>
      </c>
      <c r="F44" s="4">
        <f t="shared" si="1"/>
        <v>3</v>
      </c>
      <c r="J44" s="2" t="str">
        <f t="shared" si="3"/>
        <v>&lt;term&gt; = &lt;factor&gt; &lt;multiplicative_operator&gt; &lt;factor&gt; {save_term}</v>
      </c>
      <c r="K44" s="2" t="str">
        <f t="shared" si="4"/>
        <v>// save_term</v>
      </c>
    </row>
    <row r="45" spans="1:11" x14ac:dyDescent="0.25">
      <c r="A45" s="2">
        <v>44</v>
      </c>
      <c r="B45" s="2" t="s">
        <v>34</v>
      </c>
      <c r="C45" s="2" t="s">
        <v>10</v>
      </c>
      <c r="D45" s="2" t="s">
        <v>388</v>
      </c>
      <c r="F45" s="4">
        <f t="shared" si="1"/>
        <v>1</v>
      </c>
      <c r="J45" s="2" t="str">
        <f t="shared" si="3"/>
        <v>&lt;term&gt; = ε {keep_value}</v>
      </c>
      <c r="K45" s="2" t="str">
        <f t="shared" si="4"/>
        <v>// keep_value</v>
      </c>
    </row>
    <row r="46" spans="1:11" x14ac:dyDescent="0.25">
      <c r="A46" s="2">
        <v>45</v>
      </c>
      <c r="B46" s="2" t="s">
        <v>35</v>
      </c>
      <c r="C46" s="2" t="s">
        <v>343</v>
      </c>
      <c r="D46" s="2" t="s">
        <v>382</v>
      </c>
      <c r="E46" s="2" t="s">
        <v>390</v>
      </c>
      <c r="F46" s="4">
        <f t="shared" si="1"/>
        <v>3</v>
      </c>
      <c r="J46" s="2" t="str">
        <f t="shared" si="3"/>
        <v>&lt;factor&gt; = '(' &lt;expression&gt; ')' {save_factor}</v>
      </c>
      <c r="K46" s="2" t="str">
        <f t="shared" si="4"/>
        <v>// save_factor</v>
      </c>
    </row>
    <row r="47" spans="1:11" x14ac:dyDescent="0.25">
      <c r="A47" s="2">
        <v>46</v>
      </c>
      <c r="B47" s="3" t="s">
        <v>35</v>
      </c>
      <c r="C47" s="3" t="s">
        <v>4</v>
      </c>
      <c r="D47" s="2" t="s">
        <v>383</v>
      </c>
      <c r="E47" s="2" t="s">
        <v>389</v>
      </c>
      <c r="F47" s="4">
        <f t="shared" si="1"/>
        <v>1</v>
      </c>
      <c r="J47" s="2" t="str">
        <f t="shared" si="3"/>
        <v>&lt;factor&gt; = identifier {save_identifier}</v>
      </c>
      <c r="K47" s="2" t="str">
        <f t="shared" si="4"/>
        <v>// save_identifier</v>
      </c>
    </row>
    <row r="48" spans="1:11" x14ac:dyDescent="0.25">
      <c r="A48" s="2">
        <v>47</v>
      </c>
      <c r="B48" s="3" t="s">
        <v>35</v>
      </c>
      <c r="C48" s="3" t="s">
        <v>36</v>
      </c>
      <c r="D48" s="2" t="s">
        <v>384</v>
      </c>
      <c r="E48" s="2" t="s">
        <v>391</v>
      </c>
      <c r="F48" s="4">
        <f t="shared" si="1"/>
        <v>1</v>
      </c>
      <c r="J48" s="2" t="str">
        <f t="shared" si="3"/>
        <v>&lt;factor&gt; = number {save_number}</v>
      </c>
      <c r="K48" s="2" t="str">
        <f t="shared" si="4"/>
        <v>// save_number</v>
      </c>
    </row>
    <row r="49" spans="1:11" x14ac:dyDescent="0.25">
      <c r="A49" s="2">
        <v>48</v>
      </c>
      <c r="B49" s="2" t="s">
        <v>35</v>
      </c>
      <c r="C49" s="2" t="s">
        <v>342</v>
      </c>
      <c r="D49" s="2" t="s">
        <v>385</v>
      </c>
      <c r="E49" s="2" t="str">
        <f>_xlfn.CONCAT(C63,",",C64)</f>
        <v>'TRUE','FALSE'</v>
      </c>
      <c r="F49" s="4">
        <f t="shared" si="1"/>
        <v>1</v>
      </c>
      <c r="J49" s="2" t="str">
        <f t="shared" si="3"/>
        <v>&lt;factor&gt; = &lt;boolean_constant&gt; {save_operator}</v>
      </c>
      <c r="K49" s="2" t="str">
        <f t="shared" si="4"/>
        <v>// save_operator</v>
      </c>
    </row>
    <row r="50" spans="1:11" x14ac:dyDescent="0.25">
      <c r="A50" s="2">
        <v>49</v>
      </c>
      <c r="B50" s="2" t="s">
        <v>35</v>
      </c>
      <c r="C50" s="2" t="s">
        <v>341</v>
      </c>
      <c r="D50" s="2" t="s">
        <v>387</v>
      </c>
      <c r="E50" s="2" t="s">
        <v>389</v>
      </c>
      <c r="F50" s="4">
        <f t="shared" si="1"/>
        <v>1</v>
      </c>
      <c r="J50" s="2" t="str">
        <f t="shared" si="3"/>
        <v>&lt;factor&gt; = &lt;string_constant&gt; {save_string}</v>
      </c>
      <c r="K50" s="2" t="str">
        <f t="shared" si="4"/>
        <v>// save_string</v>
      </c>
    </row>
    <row r="51" spans="1:11" x14ac:dyDescent="0.25">
      <c r="A51" s="2">
        <v>50</v>
      </c>
      <c r="B51" s="3" t="s">
        <v>51</v>
      </c>
      <c r="C51" s="5" t="s">
        <v>405</v>
      </c>
      <c r="D51" s="2" t="s">
        <v>385</v>
      </c>
      <c r="E51" s="2" t="str">
        <f t="shared" ref="E51:E65" si="11">C51</f>
        <v>'='</v>
      </c>
      <c r="F51" s="4">
        <f t="shared" si="1"/>
        <v>1</v>
      </c>
      <c r="J51" s="2" t="str">
        <f t="shared" si="3"/>
        <v>&lt;relational_operator&gt; = '=' {save_operator}</v>
      </c>
      <c r="K51" s="2" t="str">
        <f t="shared" si="4"/>
        <v>// save_operator</v>
      </c>
    </row>
    <row r="52" spans="1:11" x14ac:dyDescent="0.25">
      <c r="A52" s="2">
        <v>51</v>
      </c>
      <c r="B52" s="3" t="s">
        <v>51</v>
      </c>
      <c r="C52" s="5" t="s">
        <v>406</v>
      </c>
      <c r="D52" s="2" t="s">
        <v>385</v>
      </c>
      <c r="E52" s="2" t="str">
        <f t="shared" si="11"/>
        <v>'&lt;&gt;'</v>
      </c>
      <c r="F52" s="4">
        <f t="shared" si="1"/>
        <v>1</v>
      </c>
      <c r="J52" s="2" t="str">
        <f t="shared" si="3"/>
        <v>&lt;relational_operator&gt; = '&lt;&gt;' {save_operator}</v>
      </c>
      <c r="K52" s="2" t="str">
        <f t="shared" si="4"/>
        <v>// save_operator</v>
      </c>
    </row>
    <row r="53" spans="1:11" x14ac:dyDescent="0.25">
      <c r="A53" s="2">
        <v>52</v>
      </c>
      <c r="B53" s="3" t="s">
        <v>51</v>
      </c>
      <c r="C53" s="5" t="s">
        <v>407</v>
      </c>
      <c r="D53" s="2" t="s">
        <v>385</v>
      </c>
      <c r="E53" s="2" t="str">
        <f t="shared" si="11"/>
        <v>'&lt;'</v>
      </c>
      <c r="F53" s="4">
        <f t="shared" si="1"/>
        <v>1</v>
      </c>
      <c r="J53" s="2" t="str">
        <f t="shared" si="3"/>
        <v>&lt;relational_operator&gt; = '&lt;' {save_operator}</v>
      </c>
      <c r="K53" s="2" t="str">
        <f t="shared" si="4"/>
        <v>// save_operator</v>
      </c>
    </row>
    <row r="54" spans="1:11" x14ac:dyDescent="0.25">
      <c r="A54" s="2">
        <v>53</v>
      </c>
      <c r="B54" s="3" t="s">
        <v>51</v>
      </c>
      <c r="C54" s="5" t="s">
        <v>408</v>
      </c>
      <c r="D54" s="2" t="s">
        <v>385</v>
      </c>
      <c r="E54" s="2" t="str">
        <f t="shared" si="11"/>
        <v>'&lt;='</v>
      </c>
      <c r="F54" s="4">
        <f t="shared" si="1"/>
        <v>1</v>
      </c>
      <c r="J54" s="2" t="str">
        <f t="shared" si="3"/>
        <v>&lt;relational_operator&gt; = '&lt;=' {save_operator}</v>
      </c>
      <c r="K54" s="2" t="str">
        <f t="shared" si="4"/>
        <v>// save_operator</v>
      </c>
    </row>
    <row r="55" spans="1:11" x14ac:dyDescent="0.25">
      <c r="A55" s="2">
        <v>54</v>
      </c>
      <c r="B55" s="3" t="s">
        <v>51</v>
      </c>
      <c r="C55" s="5" t="s">
        <v>409</v>
      </c>
      <c r="D55" s="2" t="s">
        <v>385</v>
      </c>
      <c r="E55" s="2" t="str">
        <f t="shared" si="11"/>
        <v>'&gt;'</v>
      </c>
      <c r="F55" s="4">
        <f t="shared" si="1"/>
        <v>1</v>
      </c>
      <c r="J55" s="2" t="str">
        <f t="shared" si="3"/>
        <v>&lt;relational_operator&gt; = '&gt;' {save_operator}</v>
      </c>
      <c r="K55" s="2" t="str">
        <f t="shared" si="4"/>
        <v>// save_operator</v>
      </c>
    </row>
    <row r="56" spans="1:11" x14ac:dyDescent="0.25">
      <c r="A56" s="2">
        <v>55</v>
      </c>
      <c r="B56" s="3" t="s">
        <v>51</v>
      </c>
      <c r="C56" s="5" t="s">
        <v>410</v>
      </c>
      <c r="D56" s="2" t="s">
        <v>385</v>
      </c>
      <c r="E56" s="2" t="str">
        <f t="shared" si="11"/>
        <v>'&gt;='</v>
      </c>
      <c r="F56" s="4">
        <f t="shared" si="1"/>
        <v>1</v>
      </c>
      <c r="J56" s="2" t="str">
        <f t="shared" si="3"/>
        <v>&lt;relational_operator&gt; = '&gt;=' {save_operator}</v>
      </c>
      <c r="K56" s="2" t="str">
        <f t="shared" si="4"/>
        <v>// save_operator</v>
      </c>
    </row>
    <row r="57" spans="1:11" x14ac:dyDescent="0.25">
      <c r="A57" s="2">
        <v>56</v>
      </c>
      <c r="B57" s="3" t="s">
        <v>53</v>
      </c>
      <c r="C57" s="5" t="s">
        <v>411</v>
      </c>
      <c r="D57" s="2" t="s">
        <v>385</v>
      </c>
      <c r="E57" s="2" t="str">
        <f t="shared" si="11"/>
        <v>'+'</v>
      </c>
      <c r="F57" s="4">
        <f t="shared" si="1"/>
        <v>1</v>
      </c>
      <c r="J57" s="2" t="str">
        <f t="shared" si="3"/>
        <v>&lt;additive_operator&gt; = '+' {save_operator}</v>
      </c>
      <c r="K57" s="2" t="str">
        <f t="shared" si="4"/>
        <v>// save_operator</v>
      </c>
    </row>
    <row r="58" spans="1:11" x14ac:dyDescent="0.25">
      <c r="A58" s="2">
        <v>57</v>
      </c>
      <c r="B58" s="3" t="s">
        <v>53</v>
      </c>
      <c r="C58" s="5" t="s">
        <v>412</v>
      </c>
      <c r="D58" s="2" t="s">
        <v>385</v>
      </c>
      <c r="E58" s="2" t="str">
        <f t="shared" si="11"/>
        <v>'-'</v>
      </c>
      <c r="F58" s="4">
        <f t="shared" si="1"/>
        <v>1</v>
      </c>
      <c r="J58" s="2" t="str">
        <f t="shared" si="3"/>
        <v>&lt;additive_operator&gt; = '-' {save_operator}</v>
      </c>
      <c r="K58" s="2" t="str">
        <f t="shared" si="4"/>
        <v>// save_operator</v>
      </c>
    </row>
    <row r="59" spans="1:11" x14ac:dyDescent="0.25">
      <c r="A59" s="2">
        <v>58</v>
      </c>
      <c r="B59" s="3" t="s">
        <v>53</v>
      </c>
      <c r="C59" s="5" t="s">
        <v>413</v>
      </c>
      <c r="D59" s="2" t="s">
        <v>385</v>
      </c>
      <c r="E59" s="2" t="str">
        <f t="shared" si="11"/>
        <v>'OR'</v>
      </c>
      <c r="F59" s="4">
        <f t="shared" si="1"/>
        <v>1</v>
      </c>
      <c r="J59" s="2" t="str">
        <f t="shared" si="3"/>
        <v>&lt;additive_operator&gt; = 'OR' {save_operator}</v>
      </c>
      <c r="K59" s="2" t="str">
        <f t="shared" si="4"/>
        <v>// save_operator</v>
      </c>
    </row>
    <row r="60" spans="1:11" x14ac:dyDescent="0.25">
      <c r="A60" s="2">
        <v>59</v>
      </c>
      <c r="B60" s="3" t="s">
        <v>57</v>
      </c>
      <c r="C60" s="5" t="s">
        <v>414</v>
      </c>
      <c r="D60" s="2" t="s">
        <v>385</v>
      </c>
      <c r="E60" s="2" t="str">
        <f t="shared" si="11"/>
        <v>'*'</v>
      </c>
      <c r="F60" s="4">
        <f t="shared" si="1"/>
        <v>1</v>
      </c>
      <c r="J60" s="2" t="str">
        <f t="shared" si="3"/>
        <v>&lt;multiplicative_operator&gt; = '*' {save_operator}</v>
      </c>
      <c r="K60" s="2" t="str">
        <f t="shared" si="4"/>
        <v>// save_operator</v>
      </c>
    </row>
    <row r="61" spans="1:11" x14ac:dyDescent="0.25">
      <c r="A61" s="2">
        <v>60</v>
      </c>
      <c r="B61" s="3" t="s">
        <v>57</v>
      </c>
      <c r="C61" s="5" t="s">
        <v>415</v>
      </c>
      <c r="D61" s="2" t="s">
        <v>385</v>
      </c>
      <c r="E61" s="2" t="str">
        <f t="shared" si="11"/>
        <v>'/'</v>
      </c>
      <c r="F61" s="4">
        <f t="shared" si="1"/>
        <v>1</v>
      </c>
      <c r="J61" s="2" t="str">
        <f t="shared" si="3"/>
        <v>&lt;multiplicative_operator&gt; = '/' {save_operator}</v>
      </c>
      <c r="K61" s="2" t="str">
        <f t="shared" si="4"/>
        <v>// save_operator</v>
      </c>
    </row>
    <row r="62" spans="1:11" x14ac:dyDescent="0.25">
      <c r="A62" s="2">
        <v>61</v>
      </c>
      <c r="B62" s="3" t="s">
        <v>57</v>
      </c>
      <c r="C62" s="5" t="s">
        <v>416</v>
      </c>
      <c r="D62" s="2" t="s">
        <v>385</v>
      </c>
      <c r="E62" s="2" t="str">
        <f t="shared" si="11"/>
        <v>'AND'</v>
      </c>
      <c r="F62" s="4">
        <f t="shared" si="1"/>
        <v>1</v>
      </c>
      <c r="J62" s="2" t="str">
        <f t="shared" si="3"/>
        <v>&lt;multiplicative_operator&gt; = 'AND' {save_operator}</v>
      </c>
      <c r="K62" s="2" t="str">
        <f t="shared" si="4"/>
        <v>// save_operator</v>
      </c>
    </row>
    <row r="63" spans="1:11" x14ac:dyDescent="0.25">
      <c r="A63" s="2">
        <v>62</v>
      </c>
      <c r="B63" s="3" t="s">
        <v>37</v>
      </c>
      <c r="C63" s="5" t="s">
        <v>417</v>
      </c>
      <c r="D63" s="2" t="s">
        <v>386</v>
      </c>
      <c r="E63" s="2" t="str">
        <f t="shared" si="11"/>
        <v>'TRUE'</v>
      </c>
      <c r="F63" s="4">
        <f t="shared" si="1"/>
        <v>1</v>
      </c>
      <c r="J63" s="2" t="str">
        <f t="shared" si="3"/>
        <v>&lt;boolean_constant&gt; = 'TRUE' {save_boolean}</v>
      </c>
      <c r="K63" s="2" t="str">
        <f t="shared" si="4"/>
        <v>// save_boolean</v>
      </c>
    </row>
    <row r="64" spans="1:11" x14ac:dyDescent="0.25">
      <c r="A64" s="2">
        <v>63</v>
      </c>
      <c r="B64" s="3" t="s">
        <v>37</v>
      </c>
      <c r="C64" s="5" t="s">
        <v>418</v>
      </c>
      <c r="D64" s="2" t="s">
        <v>386</v>
      </c>
      <c r="E64" s="2" t="str">
        <f t="shared" si="11"/>
        <v>'FALSE'</v>
      </c>
      <c r="F64" s="4">
        <f t="shared" si="1"/>
        <v>1</v>
      </c>
      <c r="J64" s="2" t="str">
        <f t="shared" si="3"/>
        <v>&lt;boolean_constant&gt; = 'FALSE' {save_boolean}</v>
      </c>
      <c r="K64" s="2" t="str">
        <f t="shared" si="4"/>
        <v>// save_boolean</v>
      </c>
    </row>
    <row r="65" spans="1:11" x14ac:dyDescent="0.25">
      <c r="A65" s="2">
        <v>64</v>
      </c>
      <c r="B65" s="3" t="s">
        <v>38</v>
      </c>
      <c r="C65" s="5" t="s">
        <v>419</v>
      </c>
      <c r="D65" s="2" t="s">
        <v>387</v>
      </c>
      <c r="E65" s="2" t="str">
        <f t="shared" si="11"/>
        <v>'"' str '"'</v>
      </c>
      <c r="F65" s="4">
        <f t="shared" si="1"/>
        <v>3</v>
      </c>
      <c r="J65" s="2" t="str">
        <f t="shared" si="3"/>
        <v>&lt;string_constant&gt; = '"' str '"' {save_string}</v>
      </c>
      <c r="K65" s="2" t="str">
        <f t="shared" si="4"/>
        <v>// save_string</v>
      </c>
    </row>
  </sheetData>
  <conditionalFormatting sqref="B1:C1048576">
    <cfRule type="expression" dxfId="8" priority="16">
      <formula>$C1="ε"</formula>
    </cfRule>
  </conditionalFormatting>
  <conditionalFormatting sqref="E31">
    <cfRule type="expression" dxfId="0" priority="8">
      <formula>$C31="ε"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4671E769-8BFC-4A2F-8C22-F3B4809373D8}">
            <xm:f>NOT(ISERROR(SEARCH($B$65,B1)))</xm:f>
            <xm:f>$B$65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10" operator="containsText" id="{236299B7-BE99-4B73-824F-642A53BC4DB2}">
            <xm:f>NOT(ISERROR(SEARCH($B$63,B1)))</xm:f>
            <xm:f>$B$63</xm:f>
            <x14:dxf>
              <fill>
                <patternFill>
                  <bgColor rgb="FFCBA9E5"/>
                </patternFill>
              </fill>
            </x14:dxf>
          </x14:cfRule>
          <x14:cfRule type="containsText" priority="11" operator="containsText" id="{92ED3B3E-A1B9-4A75-AF84-C13EAC1DEF7B}">
            <xm:f>NOT(ISERROR(SEARCH($B$60,B1)))</xm:f>
            <xm:f>$B$60</xm:f>
            <x14:dxf>
              <fill>
                <patternFill>
                  <bgColor rgb="FF5DD5FF"/>
                </patternFill>
              </fill>
            </x14:dxf>
          </x14:cfRule>
          <x14:cfRule type="containsText" priority="12" operator="containsText" id="{05F6F047-F869-4BF0-BCFD-D09311E64F1E}">
            <xm:f>NOT(ISERROR(SEARCH($B$57,B1)))</xm:f>
            <xm:f>$B$57</xm:f>
            <x14:dxf>
              <fill>
                <patternFill>
                  <bgColor rgb="FFFBCDCD"/>
                </patternFill>
              </fill>
            </x14:dxf>
          </x14:cfRule>
          <x14:cfRule type="containsText" priority="13" operator="containsText" id="{C11B196B-60C5-4127-90C6-1723B7C16A8B}">
            <xm:f>NOT(ISERROR(SEARCH($B$51,B1)))</xm:f>
            <xm:f>$B$51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14" operator="containsText" id="{21545CF9-52A3-4717-A029-82088D806C07}">
            <xm:f>NOT(ISERROR(SEARCH($B$47,B1)))</xm:f>
            <xm:f>$B$47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5" operator="containsText" id="{C5F0B19E-15C6-4401-A920-DF51F6A4FCDF}">
            <xm:f>NOT(ISERROR(SEARCH($B$13,B1)))</xm:f>
            <xm:f>$B$13</xm:f>
            <x14:dxf>
              <fill>
                <patternFill>
                  <bgColor rgb="FFFFFFB9"/>
                </patternFill>
              </fill>
            </x14:dxf>
          </x14:cfRule>
          <xm:sqref>B1:C1048576</xm:sqref>
        </x14:conditionalFormatting>
        <x14:conditionalFormatting xmlns:xm="http://schemas.microsoft.com/office/excel/2006/main">
          <x14:cfRule type="containsText" priority="1" operator="containsText" id="{6DC1F1DF-02B5-4788-94EB-AD97A75A7393}">
            <xm:f>NOT(ISERROR(SEARCH($B$65,E31)))</xm:f>
            <xm:f>$B$65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" operator="containsText" id="{2FF12847-6394-41AD-AC91-C6F9715B5498}">
            <xm:f>NOT(ISERROR(SEARCH($B$63,E31)))</xm:f>
            <xm:f>$B$63</xm:f>
            <x14:dxf>
              <fill>
                <patternFill>
                  <bgColor rgb="FFCBA9E5"/>
                </patternFill>
              </fill>
            </x14:dxf>
          </x14:cfRule>
          <x14:cfRule type="containsText" priority="3" operator="containsText" id="{0949B2D4-C66D-4814-9002-58EB08747B64}">
            <xm:f>NOT(ISERROR(SEARCH($B$60,E31)))</xm:f>
            <xm:f>$B$60</xm:f>
            <x14:dxf>
              <fill>
                <patternFill>
                  <bgColor rgb="FF5DD5FF"/>
                </patternFill>
              </fill>
            </x14:dxf>
          </x14:cfRule>
          <x14:cfRule type="containsText" priority="4" operator="containsText" id="{90F94BD0-4A3E-4EA2-992B-C937006010F7}">
            <xm:f>NOT(ISERROR(SEARCH($B$57,E31)))</xm:f>
            <xm:f>$B$57</xm:f>
            <x14:dxf>
              <fill>
                <patternFill>
                  <bgColor rgb="FFFBCDCD"/>
                </patternFill>
              </fill>
            </x14:dxf>
          </x14:cfRule>
          <x14:cfRule type="containsText" priority="5" operator="containsText" id="{4433DD3C-F5E3-49F9-8A0E-846F248B06C5}">
            <xm:f>NOT(ISERROR(SEARCH($B$51,E31)))</xm:f>
            <xm:f>$B$51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6" operator="containsText" id="{53B2B626-4561-4F82-81A8-956D5844E47B}">
            <xm:f>NOT(ISERROR(SEARCH($B$47,E31)))</xm:f>
            <xm:f>$B$47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" operator="containsText" id="{09F7819F-AB5B-40D3-9B1B-70C397B131A6}">
            <xm:f>NOT(ISERROR(SEARCH($B$13,E31)))</xm:f>
            <xm:f>$B$13</xm:f>
            <x14:dxf>
              <fill>
                <patternFill>
                  <bgColor rgb="FFFFFFB9"/>
                </patternFill>
              </fill>
            </x14:dxf>
          </x14:cfRule>
          <xm:sqref>E31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 Terminales</vt:lpstr>
      <vt:lpstr>Action Table</vt:lpstr>
      <vt:lpstr>Accionnes No Terminales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AZURDIA ORTIZ DE ORTIZ</cp:lastModifiedBy>
  <dcterms:modified xsi:type="dcterms:W3CDTF">2024-11-05T08:06:01Z</dcterms:modified>
</cp:coreProperties>
</file>